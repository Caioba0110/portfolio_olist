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hidePivotFieldList="1"/>
  <xr:revisionPtr revIDLastSave="0" documentId="8_{1496A1C5-CF5A-4A23-BFCB-40E7734F18E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mo_Estados" sheetId="2" r:id="rId1"/>
    <sheet name="Base_mensal" sheetId="1" r:id="rId2"/>
  </sheets>
  <calcPr calcId="191028"/>
  <pivotCaches>
    <pivotCache cacheId="76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</calcChain>
</file>

<file path=xl/sharedStrings.xml><?xml version="1.0" encoding="utf-8"?>
<sst xmlns="http://schemas.openxmlformats.org/spreadsheetml/2006/main" count="1178" uniqueCount="60">
  <si>
    <t>Estado</t>
  </si>
  <si>
    <t>Taxa de atraso</t>
  </si>
  <si>
    <t>AL</t>
  </si>
  <si>
    <t>customer_state</t>
  </si>
  <si>
    <t>Soma de pedidos_atrasados</t>
  </si>
  <si>
    <t>Soma de pedidos_avaliaveis</t>
  </si>
  <si>
    <t>MA</t>
  </si>
  <si>
    <t>AC</t>
  </si>
  <si>
    <t>SE</t>
  </si>
  <si>
    <t>PI</t>
  </si>
  <si>
    <t>AM</t>
  </si>
  <si>
    <t>CE</t>
  </si>
  <si>
    <t>AP</t>
  </si>
  <si>
    <t>RR</t>
  </si>
  <si>
    <t>BA</t>
  </si>
  <si>
    <t>RJ</t>
  </si>
  <si>
    <t>DF</t>
  </si>
  <si>
    <t>PA</t>
  </si>
  <si>
    <t>ES</t>
  </si>
  <si>
    <t>GO</t>
  </si>
  <si>
    <t>PB</t>
  </si>
  <si>
    <t>TO</t>
  </si>
  <si>
    <t>MG</t>
  </si>
  <si>
    <t>MS</t>
  </si>
  <si>
    <t>PE</t>
  </si>
  <si>
    <t>MT</t>
  </si>
  <si>
    <t>RN</t>
  </si>
  <si>
    <t>SC</t>
  </si>
  <si>
    <t>RS</t>
  </si>
  <si>
    <t>PR</t>
  </si>
  <si>
    <t>SP</t>
  </si>
  <si>
    <t>RO</t>
  </si>
  <si>
    <t>Total Geral</t>
  </si>
  <si>
    <t>mes_compra</t>
  </si>
  <si>
    <t>pedidos_avaliaveis</t>
  </si>
  <si>
    <t>pedidos_atrasados</t>
  </si>
  <si>
    <t>taxa_atraso_pct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</si>
  <si>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</si>
  <si>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</si>
  <si>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</si>
  <si>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</si>
  <si>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</si>
  <si>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</si>
  <si>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</si>
  <si>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</si>
  <si>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</si>
  <si>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</si>
  <si>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</si>
  <si>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</si>
  <si>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</si>
  <si>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</si>
  <si>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</si>
  <si>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</si>
  <si>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</si>
  <si>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</si>
  <si>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</si>
  <si>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</si>
  <si>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2016-10</t>
  </si>
  <si>
    <t>2016-12</t>
  </si>
  <si>
    <t>2016-09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</si>
</sst>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10" fontId="0" fillId="4" borderId="2" xfId="0" applyNumberFormat="1" applyFont="1" applyFill="1" applyBorder="1"/>
    <xf numFmtId="0" fontId="2" fillId="3" borderId="2" xfId="0" applyFont="1" applyFill="1" applyBorder="1" applyAlignment="1">
      <alignment horizontal="center"/>
    </xf>
    <xf numFmtId="0" fontId="0" fillId="0" borderId="2" xfId="0" pivotButton="1" applyBorder="1" applyAlignment="1">
      <alignment horizontal="center"/>
    </xf>
    <xf numFmtId="0" fontId="0" fillId="0" borderId="2" xfId="0" applyBorder="1" applyAlignment="1">
      <alignment horizontal="center"/>
    </xf>
    <xf numFmtId="10" fontId="2" fillId="2" borderId="2" xfId="0" applyNumberFormat="1" applyFont="1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10" fontId="2" fillId="3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12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Taxa de atraso por estado - Pedidos avaliáveis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Resumo_Estados!$G$1</c:f>
              <c:strCache>
                <c:ptCount val="1"/>
                <c:pt idx="0">
                  <c:v>Taxa de atraso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Resumo_Estados!$F$2:$F$28</c:f>
              <c:strCache>
                <c:ptCount val="27"/>
                <c:pt idx="0">
                  <c:v>AL</c:v>
                </c:pt>
                <c:pt idx="1">
                  <c:v>MA</c:v>
                </c:pt>
                <c:pt idx="2">
                  <c:v>SE</c:v>
                </c:pt>
                <c:pt idx="3">
                  <c:v>PI</c:v>
                </c:pt>
                <c:pt idx="4">
                  <c:v>CE</c:v>
                </c:pt>
                <c:pt idx="5">
                  <c:v>RR</c:v>
                </c:pt>
                <c:pt idx="6">
                  <c:v>BA</c:v>
                </c:pt>
                <c:pt idx="7">
                  <c:v>RJ</c:v>
                </c:pt>
                <c:pt idx="8">
                  <c:v>PA</c:v>
                </c:pt>
                <c:pt idx="9">
                  <c:v>ES</c:v>
                </c:pt>
                <c:pt idx="10">
                  <c:v>PB</c:v>
                </c:pt>
                <c:pt idx="11">
                  <c:v>TO</c:v>
                </c:pt>
                <c:pt idx="12">
                  <c:v>MS</c:v>
                </c:pt>
                <c:pt idx="13">
                  <c:v>PE</c:v>
                </c:pt>
                <c:pt idx="14">
                  <c:v>RN</c:v>
                </c:pt>
                <c:pt idx="15">
                  <c:v>SC</c:v>
                </c:pt>
                <c:pt idx="16">
                  <c:v>GO</c:v>
                </c:pt>
                <c:pt idx="17">
                  <c:v>RS</c:v>
                </c:pt>
                <c:pt idx="18">
                  <c:v>MT</c:v>
                </c:pt>
                <c:pt idx="19">
                  <c:v>DF</c:v>
                </c:pt>
                <c:pt idx="20">
                  <c:v>MG</c:v>
                </c:pt>
                <c:pt idx="21">
                  <c:v>SP</c:v>
                </c:pt>
                <c:pt idx="22">
                  <c:v>PR</c:v>
                </c:pt>
                <c:pt idx="23">
                  <c:v>AC</c:v>
                </c:pt>
                <c:pt idx="24">
                  <c:v>AP</c:v>
                </c:pt>
                <c:pt idx="25">
                  <c:v>RO</c:v>
                </c:pt>
                <c:pt idx="26">
                  <c:v>AM</c:v>
                </c:pt>
              </c:strCache>
            </c:strRef>
          </c:cat>
          <c:val>
            <c:numRef>
              <c:f>Resumo_Estados!$G$2:$G$28</c:f>
              <c:numCache>
                <c:formatCode>0.00%</c:formatCode>
                <c:ptCount val="27"/>
                <c:pt idx="0">
                  <c:v>0.2141057934508816</c:v>
                </c:pt>
                <c:pt idx="1">
                  <c:v>0.17433751743375175</c:v>
                </c:pt>
                <c:pt idx="2">
                  <c:v>0.15223880597014924</c:v>
                </c:pt>
                <c:pt idx="3">
                  <c:v>0.13865546218487396</c:v>
                </c:pt>
                <c:pt idx="4">
                  <c:v>0.1376075058639562</c:v>
                </c:pt>
                <c:pt idx="5">
                  <c:v>0.12195121951219512</c:v>
                </c:pt>
                <c:pt idx="6">
                  <c:v>0.12162162162162163</c:v>
                </c:pt>
                <c:pt idx="7">
                  <c:v>0.12105263157894737</c:v>
                </c:pt>
                <c:pt idx="8">
                  <c:v>0.11205073995771671</c:v>
                </c:pt>
                <c:pt idx="9">
                  <c:v>0.10726817042606517</c:v>
                </c:pt>
                <c:pt idx="10">
                  <c:v>0.10444874274661509</c:v>
                </c:pt>
                <c:pt idx="11">
                  <c:v>9.8540145985401464E-2</c:v>
                </c:pt>
                <c:pt idx="12">
                  <c:v>9.700427960057062E-2</c:v>
                </c:pt>
                <c:pt idx="13">
                  <c:v>9.6045197740112997E-2</c:v>
                </c:pt>
                <c:pt idx="14">
                  <c:v>9.2827004219409287E-2</c:v>
                </c:pt>
                <c:pt idx="15">
                  <c:v>8.2064297800338415E-2</c:v>
                </c:pt>
                <c:pt idx="16">
                  <c:v>6.5406234031681151E-2</c:v>
                </c:pt>
                <c:pt idx="17">
                  <c:v>6.0815868263473051E-2</c:v>
                </c:pt>
                <c:pt idx="18">
                  <c:v>5.9819413092550788E-2</c:v>
                </c:pt>
                <c:pt idx="19">
                  <c:v>5.673076923076923E-2</c:v>
                </c:pt>
                <c:pt idx="20">
                  <c:v>4.5710762726792323E-2</c:v>
                </c:pt>
                <c:pt idx="21">
                  <c:v>4.4944930113103174E-2</c:v>
                </c:pt>
                <c:pt idx="22">
                  <c:v>4.0422506601665652E-2</c:v>
                </c:pt>
                <c:pt idx="23">
                  <c:v>3.7499999999999999E-2</c:v>
                </c:pt>
                <c:pt idx="24">
                  <c:v>2.9850746268656716E-2</c:v>
                </c:pt>
                <c:pt idx="25">
                  <c:v>2.8806584362139918E-2</c:v>
                </c:pt>
                <c:pt idx="26">
                  <c:v>2.7586206896551724E-2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2-49E2-9479-8131AB1A0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1031176"/>
        <c:axId val="2084459527"/>
      </c:barChart>
      <c:catAx>
        <c:axId val="1281031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459527"/>
        <c:crosses val="autoZero"/>
        <c:auto val="1"/>
        <c:lblAlgn val="ctr"/>
        <c:lblOffset val="100"/>
        <c:noMultiLvlLbl val="0"/>
      </c:catAx>
      <c:valAx>
        <c:axId val="2084459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031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1</xdr:row>
      <xdr:rowOff>28575</xdr:rowOff>
    </xdr:from>
    <xdr:to>
      <xdr:col>21</xdr:col>
      <xdr:colOff>371475</xdr:colOff>
      <xdr:row>27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9B92483-CBCA-394E-6B70-84D50B930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8.639862615739" createdVersion="8" refreshedVersion="8" minRefreshableVersion="3" recordCount="557" xr:uid="{1473FD0D-7709-4CCA-8351-89386AF45B7D}">
  <cacheSource type="worksheet">
    <worksheetSource ref="A1:E1048576" sheet="Base_mensal"/>
  </cacheSource>
  <cacheFields count="5">
    <cacheField name="customer_state" numFmtId="0">
      <sharedItems containsBlank="1" count="28">
        <s v="AC"/>
        <s v="AL"/>
        <s v="AM"/>
        <s v="AP"/>
        <s v="BA"/>
        <s v="CE"/>
        <s v="DF"/>
        <s v="ES"/>
        <s v="GO"/>
        <s v="MA"/>
        <s v="MG"/>
        <s v="MS"/>
        <s v="MT"/>
        <s v="PA"/>
        <s v="PB"/>
        <s v="PE"/>
        <s v="PI"/>
        <s v="PR"/>
        <s v="RJ"/>
        <s v="RN"/>
        <s v="RO"/>
        <s v="RR"/>
        <s v="RS"/>
        <s v="SC"/>
        <s v="SE"/>
        <s v="SP"/>
        <s v="TO"/>
        <m/>
      </sharedItems>
    </cacheField>
    <cacheField name="mes_compra" numFmtId="0">
      <sharedItems containsBlank="1"/>
    </cacheField>
    <cacheField name="pedidos_avaliaveis" numFmtId="0">
      <sharedItems containsString="0" containsBlank="1" containsNumber="1" containsInteger="1" minValue="1" maxValue="3164"/>
    </cacheField>
    <cacheField name="pedidos_atrasados" numFmtId="0">
      <sharedItems containsString="0" containsBlank="1" containsNumber="1" containsInteger="1" minValue="0" maxValue="299"/>
    </cacheField>
    <cacheField name="taxa_atraso_pct" numFmtId="0">
      <sharedItems containsString="0" containsBlank="1" containsNumber="1" minValue="0" maxValue="1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7">
  <r>
    <x v="0"/>
    <s v="2017-01"/>
    <n v="2"/>
    <n v="0"/>
    <n v="0"/>
  </r>
  <r>
    <x v="0"/>
    <s v="2017-02"/>
    <n v="3"/>
    <n v="0"/>
    <n v="0"/>
  </r>
  <r>
    <x v="0"/>
    <s v="2017-03"/>
    <n v="2"/>
    <n v="0"/>
    <n v="0"/>
  </r>
  <r>
    <x v="0"/>
    <s v="2017-04"/>
    <n v="5"/>
    <n v="0"/>
    <n v="0"/>
  </r>
  <r>
    <x v="0"/>
    <s v="2017-05"/>
    <n v="8"/>
    <n v="0"/>
    <n v="0"/>
  </r>
  <r>
    <x v="0"/>
    <s v="2017-06"/>
    <n v="4"/>
    <n v="0"/>
    <n v="0"/>
  </r>
  <r>
    <x v="0"/>
    <s v="2017-07"/>
    <n v="5"/>
    <n v="0"/>
    <n v="0"/>
  </r>
  <r>
    <x v="0"/>
    <s v="2017-08"/>
    <n v="4"/>
    <n v="0"/>
    <n v="0"/>
  </r>
  <r>
    <x v="0"/>
    <s v="2017-09"/>
    <n v="5"/>
    <n v="1"/>
    <n v="20"/>
  </r>
  <r>
    <x v="0"/>
    <s v="2017-10"/>
    <n v="5"/>
    <n v="0"/>
    <n v="0"/>
  </r>
  <r>
    <x v="0"/>
    <s v="2017-11"/>
    <n v="5"/>
    <n v="1"/>
    <n v="20"/>
  </r>
  <r>
    <x v="0"/>
    <s v="2017-12"/>
    <n v="5"/>
    <n v="0"/>
    <n v="0"/>
  </r>
  <r>
    <x v="0"/>
    <s v="2018-01"/>
    <n v="6"/>
    <n v="0"/>
    <n v="0"/>
  </r>
  <r>
    <x v="0"/>
    <s v="2018-02"/>
    <n v="3"/>
    <n v="0"/>
    <n v="0"/>
  </r>
  <r>
    <x v="0"/>
    <s v="2018-03"/>
    <n v="2"/>
    <n v="0"/>
    <n v="0"/>
  </r>
  <r>
    <x v="0"/>
    <s v="2018-04"/>
    <n v="4"/>
    <n v="1"/>
    <n v="25"/>
  </r>
  <r>
    <x v="0"/>
    <s v="2018-05"/>
    <n v="2"/>
    <n v="0"/>
    <n v="0"/>
  </r>
  <r>
    <x v="0"/>
    <s v="2018-06"/>
    <n v="3"/>
    <n v="0"/>
    <n v="0"/>
  </r>
  <r>
    <x v="0"/>
    <s v="2018-07"/>
    <n v="4"/>
    <n v="0"/>
    <n v="0"/>
  </r>
  <r>
    <x v="0"/>
    <s v="2018-08"/>
    <n v="3"/>
    <n v="0"/>
    <n v="0"/>
  </r>
  <r>
    <x v="1"/>
    <s v="2016-10"/>
    <n v="1"/>
    <n v="0"/>
    <n v="0"/>
  </r>
  <r>
    <x v="1"/>
    <s v="2017-01"/>
    <n v="2"/>
    <n v="0"/>
    <n v="0"/>
  </r>
  <r>
    <x v="1"/>
    <s v="2017-02"/>
    <n v="12"/>
    <n v="1"/>
    <n v="8.3333333333333321"/>
  </r>
  <r>
    <x v="1"/>
    <s v="2017-03"/>
    <n v="10"/>
    <n v="2"/>
    <n v="20"/>
  </r>
  <r>
    <x v="1"/>
    <s v="2017-04"/>
    <n v="21"/>
    <n v="8"/>
    <n v="38.095238095238088"/>
  </r>
  <r>
    <x v="1"/>
    <s v="2017-05"/>
    <n v="26"/>
    <n v="2"/>
    <n v="7.6923076923076934"/>
  </r>
  <r>
    <x v="1"/>
    <s v="2017-06"/>
    <n v="10"/>
    <n v="3"/>
    <n v="30"/>
  </r>
  <r>
    <x v="1"/>
    <s v="2017-07"/>
    <n v="15"/>
    <n v="7"/>
    <n v="46.666666666666657"/>
  </r>
  <r>
    <x v="1"/>
    <s v="2017-08"/>
    <n v="17"/>
    <n v="3"/>
    <n v="17.647058823529409"/>
  </r>
  <r>
    <x v="1"/>
    <s v="2017-09"/>
    <n v="19"/>
    <n v="8"/>
    <n v="42.105263157894733"/>
  </r>
  <r>
    <x v="1"/>
    <s v="2017-10"/>
    <n v="28"/>
    <n v="2"/>
    <n v="7.1428571428571423"/>
  </r>
  <r>
    <x v="1"/>
    <s v="2017-11"/>
    <n v="26"/>
    <n v="5"/>
    <n v="19.230769230769241"/>
  </r>
  <r>
    <x v="1"/>
    <s v="2017-12"/>
    <n v="12"/>
    <n v="0"/>
    <n v="0"/>
  </r>
  <r>
    <x v="1"/>
    <s v="2018-01"/>
    <n v="36"/>
    <n v="12"/>
    <n v="33.333333333333329"/>
  </r>
  <r>
    <x v="1"/>
    <s v="2018-02"/>
    <n v="27"/>
    <n v="10"/>
    <n v="37.037037037037038"/>
  </r>
  <r>
    <x v="1"/>
    <s v="2018-03"/>
    <n v="27"/>
    <n v="9"/>
    <n v="33.333333333333329"/>
  </r>
  <r>
    <x v="1"/>
    <s v="2018-04"/>
    <n v="27"/>
    <n v="7"/>
    <n v="25.92592592592592"/>
  </r>
  <r>
    <x v="1"/>
    <s v="2018-05"/>
    <n v="19"/>
    <n v="2"/>
    <n v="10.52631578947368"/>
  </r>
  <r>
    <x v="1"/>
    <s v="2018-06"/>
    <n v="24"/>
    <n v="0"/>
    <n v="0"/>
  </r>
  <r>
    <x v="1"/>
    <s v="2018-07"/>
    <n v="22"/>
    <n v="4"/>
    <n v="18.18181818181818"/>
  </r>
  <r>
    <x v="1"/>
    <s v="2018-08"/>
    <n v="16"/>
    <n v="0"/>
    <n v="0"/>
  </r>
  <r>
    <x v="2"/>
    <s v="2017-02"/>
    <n v="8"/>
    <n v="0"/>
    <n v="0"/>
  </r>
  <r>
    <x v="2"/>
    <s v="2017-03"/>
    <n v="5"/>
    <n v="0"/>
    <n v="0"/>
  </r>
  <r>
    <x v="2"/>
    <s v="2017-04"/>
    <n v="13"/>
    <n v="0"/>
    <n v="0"/>
  </r>
  <r>
    <x v="2"/>
    <s v="2017-05"/>
    <n v="8"/>
    <n v="1"/>
    <n v="12.5"/>
  </r>
  <r>
    <x v="2"/>
    <s v="2017-06"/>
    <n v="1"/>
    <n v="0"/>
    <n v="0"/>
  </r>
  <r>
    <x v="2"/>
    <s v="2017-07"/>
    <n v="5"/>
    <n v="0"/>
    <n v="0"/>
  </r>
  <r>
    <x v="2"/>
    <s v="2017-08"/>
    <n v="5"/>
    <n v="0"/>
    <n v="0"/>
  </r>
  <r>
    <x v="2"/>
    <s v="2017-09"/>
    <n v="9"/>
    <n v="0"/>
    <n v="0"/>
  </r>
  <r>
    <x v="2"/>
    <s v="2017-10"/>
    <n v="3"/>
    <n v="0"/>
    <n v="0"/>
  </r>
  <r>
    <x v="2"/>
    <s v="2017-11"/>
    <n v="10"/>
    <n v="0"/>
    <n v="0"/>
  </r>
  <r>
    <x v="2"/>
    <s v="2017-12"/>
    <n v="6"/>
    <n v="0"/>
    <n v="0"/>
  </r>
  <r>
    <x v="2"/>
    <s v="2018-01"/>
    <n v="12"/>
    <n v="0"/>
    <n v="0"/>
  </r>
  <r>
    <x v="2"/>
    <s v="2018-02"/>
    <n v="8"/>
    <n v="1"/>
    <n v="12.5"/>
  </r>
  <r>
    <x v="2"/>
    <s v="2018-03"/>
    <n v="8"/>
    <n v="2"/>
    <n v="25"/>
  </r>
  <r>
    <x v="2"/>
    <s v="2018-04"/>
    <n v="6"/>
    <n v="0"/>
    <n v="0"/>
  </r>
  <r>
    <x v="2"/>
    <s v="2018-05"/>
    <n v="9"/>
    <n v="0"/>
    <n v="0"/>
  </r>
  <r>
    <x v="2"/>
    <s v="2018-06"/>
    <n v="7"/>
    <n v="0"/>
    <n v="0"/>
  </r>
  <r>
    <x v="2"/>
    <s v="2018-07"/>
    <n v="18"/>
    <n v="0"/>
    <n v="0"/>
  </r>
  <r>
    <x v="2"/>
    <s v="2018-08"/>
    <n v="4"/>
    <n v="0"/>
    <n v="0"/>
  </r>
  <r>
    <x v="3"/>
    <s v="2017-02"/>
    <n v="2"/>
    <n v="0"/>
    <n v="0"/>
  </r>
  <r>
    <x v="3"/>
    <s v="2017-03"/>
    <n v="3"/>
    <n v="2"/>
    <n v="66.666666666666657"/>
  </r>
  <r>
    <x v="3"/>
    <s v="2017-05"/>
    <n v="4"/>
    <n v="0"/>
    <n v="0"/>
  </r>
  <r>
    <x v="3"/>
    <s v="2017-06"/>
    <n v="2"/>
    <n v="0"/>
    <n v="0"/>
  </r>
  <r>
    <x v="3"/>
    <s v="2017-07"/>
    <n v="1"/>
    <n v="0"/>
    <n v="0"/>
  </r>
  <r>
    <x v="3"/>
    <s v="2017-08"/>
    <n v="3"/>
    <n v="0"/>
    <n v="0"/>
  </r>
  <r>
    <x v="3"/>
    <s v="2017-09"/>
    <n v="2"/>
    <n v="0"/>
    <n v="0"/>
  </r>
  <r>
    <x v="3"/>
    <s v="2017-10"/>
    <n v="3"/>
    <n v="0"/>
    <n v="0"/>
  </r>
  <r>
    <x v="3"/>
    <s v="2017-11"/>
    <n v="4"/>
    <n v="0"/>
    <n v="0"/>
  </r>
  <r>
    <x v="3"/>
    <s v="2017-12"/>
    <n v="4"/>
    <n v="0"/>
    <n v="0"/>
  </r>
  <r>
    <x v="3"/>
    <s v="2018-01"/>
    <n v="11"/>
    <n v="0"/>
    <n v="0"/>
  </r>
  <r>
    <x v="3"/>
    <s v="2018-02"/>
    <n v="2"/>
    <n v="0"/>
    <n v="0"/>
  </r>
  <r>
    <x v="3"/>
    <s v="2018-03"/>
    <n v="5"/>
    <n v="0"/>
    <n v="0"/>
  </r>
  <r>
    <x v="3"/>
    <s v="2018-04"/>
    <n v="5"/>
    <n v="0"/>
    <n v="0"/>
  </r>
  <r>
    <x v="3"/>
    <s v="2018-05"/>
    <n v="6"/>
    <n v="0"/>
    <n v="0"/>
  </r>
  <r>
    <x v="3"/>
    <s v="2018-06"/>
    <n v="2"/>
    <n v="0"/>
    <n v="0"/>
  </r>
  <r>
    <x v="3"/>
    <s v="2018-07"/>
    <n v="6"/>
    <n v="0"/>
    <n v="0"/>
  </r>
  <r>
    <x v="3"/>
    <s v="2018-08"/>
    <n v="2"/>
    <n v="0"/>
    <n v="0"/>
  </r>
  <r>
    <x v="4"/>
    <s v="2016-10"/>
    <n v="3"/>
    <n v="0"/>
    <n v="0"/>
  </r>
  <r>
    <x v="4"/>
    <s v="2017-01"/>
    <n v="24"/>
    <n v="1"/>
    <n v="4.1666666666666661"/>
  </r>
  <r>
    <x v="4"/>
    <s v="2017-02"/>
    <n v="58"/>
    <n v="5"/>
    <n v="8.6206896551724146"/>
  </r>
  <r>
    <x v="4"/>
    <s v="2017-03"/>
    <n v="87"/>
    <n v="7"/>
    <n v="8.0459770114942533"/>
  </r>
  <r>
    <x v="4"/>
    <s v="2017-04"/>
    <n v="84"/>
    <n v="12"/>
    <n v="14.285714285714279"/>
  </r>
  <r>
    <x v="4"/>
    <s v="2017-05"/>
    <n v="119"/>
    <n v="4"/>
    <n v="3.3613445378151261"/>
  </r>
  <r>
    <x v="4"/>
    <s v="2017-06"/>
    <n v="103"/>
    <n v="8"/>
    <n v="7.7669902912621351"/>
  </r>
  <r>
    <x v="4"/>
    <s v="2017-07"/>
    <n v="144"/>
    <n v="7"/>
    <n v="4.8611111111111116"/>
  </r>
  <r>
    <x v="4"/>
    <s v="2017-08"/>
    <n v="152"/>
    <n v="5"/>
    <n v="3.2894736842105261"/>
  </r>
  <r>
    <x v="4"/>
    <s v="2017-09"/>
    <n v="167"/>
    <n v="28"/>
    <n v="16.766467065868259"/>
  </r>
  <r>
    <x v="4"/>
    <s v="2017-10"/>
    <n v="158"/>
    <n v="16"/>
    <n v="10.12658227848101"/>
  </r>
  <r>
    <x v="4"/>
    <s v="2017-11"/>
    <n v="243"/>
    <n v="36"/>
    <n v="14.81481481481481"/>
  </r>
  <r>
    <x v="4"/>
    <s v="2017-12"/>
    <n v="188"/>
    <n v="24"/>
    <n v="12.76595744680851"/>
  </r>
  <r>
    <x v="4"/>
    <s v="2018-01"/>
    <n v="228"/>
    <n v="15"/>
    <n v="6.5789473684210522"/>
  </r>
  <r>
    <x v="4"/>
    <s v="2018-02"/>
    <n v="208"/>
    <n v="40"/>
    <n v="19.230769230769241"/>
  </r>
  <r>
    <x v="4"/>
    <s v="2018-03"/>
    <n v="235"/>
    <n v="74"/>
    <n v="31.48936170212766"/>
  </r>
  <r>
    <x v="4"/>
    <s v="2018-04"/>
    <n v="216"/>
    <n v="40"/>
    <n v="18.518518518518519"/>
  </r>
  <r>
    <x v="4"/>
    <s v="2018-05"/>
    <n v="237"/>
    <n v="47"/>
    <n v="19.83122362869198"/>
  </r>
  <r>
    <x v="4"/>
    <s v="2018-06"/>
    <n v="198"/>
    <n v="11"/>
    <n v="5.5555555555555554"/>
  </r>
  <r>
    <x v="4"/>
    <s v="2018-07"/>
    <n v="245"/>
    <n v="15"/>
    <n v="6.1224489795918364"/>
  </r>
  <r>
    <x v="4"/>
    <s v="2018-08"/>
    <n v="159"/>
    <n v="1"/>
    <n v="0.62893081761006298"/>
  </r>
  <r>
    <x v="5"/>
    <s v="2016-10"/>
    <n v="6"/>
    <n v="0"/>
    <n v="0"/>
  </r>
  <r>
    <x v="5"/>
    <s v="2017-01"/>
    <n v="8"/>
    <n v="1"/>
    <n v="12.5"/>
  </r>
  <r>
    <x v="5"/>
    <s v="2017-02"/>
    <n v="13"/>
    <n v="1"/>
    <n v="7.6923076923076934"/>
  </r>
  <r>
    <x v="5"/>
    <s v="2017-03"/>
    <n v="26"/>
    <n v="8"/>
    <n v="30.76923076923077"/>
  </r>
  <r>
    <x v="5"/>
    <s v="2017-04"/>
    <n v="42"/>
    <n v="5"/>
    <n v="11.9047619047619"/>
  </r>
  <r>
    <x v="5"/>
    <s v="2017-05"/>
    <n v="62"/>
    <n v="1"/>
    <n v="1.612903225806452"/>
  </r>
  <r>
    <x v="5"/>
    <s v="2017-06"/>
    <n v="44"/>
    <n v="0"/>
    <n v="0"/>
  </r>
  <r>
    <x v="5"/>
    <s v="2017-07"/>
    <n v="53"/>
    <n v="0"/>
    <n v="0"/>
  </r>
  <r>
    <x v="5"/>
    <s v="2017-08"/>
    <n v="73"/>
    <n v="1"/>
    <n v="1.3698630136986301"/>
  </r>
  <r>
    <x v="5"/>
    <s v="2017-09"/>
    <n v="74"/>
    <n v="2"/>
    <n v="2.7027027027027022"/>
  </r>
  <r>
    <x v="5"/>
    <s v="2017-10"/>
    <n v="63"/>
    <n v="3"/>
    <n v="4.7619047619047619"/>
  </r>
  <r>
    <x v="5"/>
    <s v="2017-11"/>
    <n v="103"/>
    <n v="27"/>
    <n v="26.21359223300971"/>
  </r>
  <r>
    <x v="5"/>
    <s v="2017-12"/>
    <n v="79"/>
    <n v="6"/>
    <n v="7.59493670886076"/>
  </r>
  <r>
    <x v="5"/>
    <s v="2018-01"/>
    <n v="77"/>
    <n v="9"/>
    <n v="11.688311688311691"/>
  </r>
  <r>
    <x v="5"/>
    <s v="2018-02"/>
    <n v="84"/>
    <n v="33"/>
    <n v="39.285714285714278"/>
  </r>
  <r>
    <x v="5"/>
    <s v="2018-03"/>
    <n v="93"/>
    <n v="47"/>
    <n v="50.537634408602152"/>
  </r>
  <r>
    <x v="5"/>
    <s v="2018-04"/>
    <n v="96"/>
    <n v="23"/>
    <n v="23.958333333333339"/>
  </r>
  <r>
    <x v="5"/>
    <s v="2018-05"/>
    <n v="72"/>
    <n v="8"/>
    <n v="11.111111111111111"/>
  </r>
  <r>
    <x v="5"/>
    <s v="2018-06"/>
    <n v="72"/>
    <n v="0"/>
    <n v="0"/>
  </r>
  <r>
    <x v="5"/>
    <s v="2018-07"/>
    <n v="84"/>
    <n v="1"/>
    <n v="1.19047619047619"/>
  </r>
  <r>
    <x v="5"/>
    <s v="2018-08"/>
    <n v="55"/>
    <n v="0"/>
    <n v="0"/>
  </r>
  <r>
    <x v="6"/>
    <s v="2016-10"/>
    <n v="6"/>
    <n v="0"/>
    <n v="0"/>
  </r>
  <r>
    <x v="6"/>
    <s v="2017-01"/>
    <n v="13"/>
    <n v="2"/>
    <n v="15.38461538461538"/>
  </r>
  <r>
    <x v="6"/>
    <s v="2017-02"/>
    <n v="21"/>
    <n v="0"/>
    <n v="0"/>
  </r>
  <r>
    <x v="6"/>
    <s v="2017-03"/>
    <n v="54"/>
    <n v="0"/>
    <n v="0"/>
  </r>
  <r>
    <x v="6"/>
    <s v="2017-04"/>
    <n v="34"/>
    <n v="0"/>
    <n v="0"/>
  </r>
  <r>
    <x v="6"/>
    <s v="2017-05"/>
    <n v="60"/>
    <n v="0"/>
    <n v="0"/>
  </r>
  <r>
    <x v="6"/>
    <s v="2017-06"/>
    <n v="69"/>
    <n v="1"/>
    <n v="1.449275362318841"/>
  </r>
  <r>
    <x v="6"/>
    <s v="2017-07"/>
    <n v="75"/>
    <n v="0"/>
    <n v="0"/>
  </r>
  <r>
    <x v="6"/>
    <s v="2017-08"/>
    <n v="83"/>
    <n v="1"/>
    <n v="1.2048192771084341"/>
  </r>
  <r>
    <x v="6"/>
    <s v="2017-09"/>
    <n v="94"/>
    <n v="7"/>
    <n v="7.4468085106382977"/>
  </r>
  <r>
    <x v="6"/>
    <s v="2017-10"/>
    <n v="92"/>
    <n v="3"/>
    <n v="3.2608695652173911"/>
  </r>
  <r>
    <x v="6"/>
    <s v="2017-11"/>
    <n v="157"/>
    <n v="18"/>
    <n v="11.464968152866239"/>
  </r>
  <r>
    <x v="6"/>
    <s v="2017-12"/>
    <n v="129"/>
    <n v="6"/>
    <n v="4.6511627906976747"/>
  </r>
  <r>
    <x v="6"/>
    <s v="2018-01"/>
    <n v="135"/>
    <n v="4"/>
    <n v="2.9629629629629628"/>
  </r>
  <r>
    <x v="6"/>
    <s v="2018-02"/>
    <n v="170"/>
    <n v="20"/>
    <n v="11.76470588235294"/>
  </r>
  <r>
    <x v="6"/>
    <s v="2018-03"/>
    <n v="147"/>
    <n v="27"/>
    <n v="18.367346938775508"/>
  </r>
  <r>
    <x v="6"/>
    <s v="2018-04"/>
    <n v="146"/>
    <n v="3"/>
    <n v="2.054794520547945"/>
  </r>
  <r>
    <x v="6"/>
    <s v="2018-05"/>
    <n v="140"/>
    <n v="13"/>
    <n v="9.2857142857142865"/>
  </r>
  <r>
    <x v="6"/>
    <s v="2018-06"/>
    <n v="147"/>
    <n v="1"/>
    <n v="0.68027210884353739"/>
  </r>
  <r>
    <x v="6"/>
    <s v="2018-07"/>
    <n v="165"/>
    <n v="7"/>
    <n v="4.2424242424242431"/>
  </r>
  <r>
    <x v="6"/>
    <s v="2018-08"/>
    <n v="143"/>
    <n v="5"/>
    <n v="3.4965034965034971"/>
  </r>
  <r>
    <x v="7"/>
    <s v="2016-10"/>
    <n v="3"/>
    <n v="0"/>
    <n v="0"/>
  </r>
  <r>
    <x v="7"/>
    <s v="2017-01"/>
    <n v="9"/>
    <n v="1"/>
    <n v="11.111111111111111"/>
  </r>
  <r>
    <x v="7"/>
    <s v="2017-02"/>
    <n v="31"/>
    <n v="2"/>
    <n v="6.4516129032258061"/>
  </r>
  <r>
    <x v="7"/>
    <s v="2017-03"/>
    <n v="47"/>
    <n v="0"/>
    <n v="0"/>
  </r>
  <r>
    <x v="7"/>
    <s v="2017-04"/>
    <n v="45"/>
    <n v="2"/>
    <n v="4.4444444444444446"/>
  </r>
  <r>
    <x v="7"/>
    <s v="2017-05"/>
    <n v="90"/>
    <n v="3"/>
    <n v="3.333333333333333"/>
  </r>
  <r>
    <x v="7"/>
    <s v="2017-06"/>
    <n v="79"/>
    <n v="5"/>
    <n v="6.3291139240506329"/>
  </r>
  <r>
    <x v="7"/>
    <s v="2017-07"/>
    <n v="81"/>
    <n v="3"/>
    <n v="3.7037037037037028"/>
  </r>
  <r>
    <x v="7"/>
    <s v="2017-08"/>
    <n v="94"/>
    <n v="4"/>
    <n v="4.2553191489361701"/>
  </r>
  <r>
    <x v="7"/>
    <s v="2017-09"/>
    <n v="93"/>
    <n v="4"/>
    <n v="4.3010752688172049"/>
  </r>
  <r>
    <x v="7"/>
    <s v="2017-10"/>
    <n v="100"/>
    <n v="5"/>
    <n v="5"/>
  </r>
  <r>
    <x v="7"/>
    <s v="2017-11"/>
    <n v="168"/>
    <n v="34"/>
    <n v="20.238095238095241"/>
  </r>
  <r>
    <x v="7"/>
    <s v="2017-12"/>
    <n v="108"/>
    <n v="7"/>
    <n v="6.481481481481481"/>
  </r>
  <r>
    <x v="7"/>
    <s v="2018-01"/>
    <n v="145"/>
    <n v="14"/>
    <n v="9.6551724137931032"/>
  </r>
  <r>
    <x v="7"/>
    <s v="2018-02"/>
    <n v="149"/>
    <n v="18"/>
    <n v="12.080536912751681"/>
  </r>
  <r>
    <x v="7"/>
    <s v="2018-03"/>
    <n v="133"/>
    <n v="55"/>
    <n v="41.353383458646611"/>
  </r>
  <r>
    <x v="7"/>
    <s v="2018-04"/>
    <n v="140"/>
    <n v="22"/>
    <n v="15.71428571428571"/>
  </r>
  <r>
    <x v="7"/>
    <s v="2018-05"/>
    <n v="132"/>
    <n v="21"/>
    <n v="15.90909090909091"/>
  </r>
  <r>
    <x v="7"/>
    <s v="2018-06"/>
    <n v="123"/>
    <n v="5"/>
    <n v="4.0650406504065044"/>
  </r>
  <r>
    <x v="7"/>
    <s v="2018-07"/>
    <n v="122"/>
    <n v="9"/>
    <n v="7.3770491803278686"/>
  </r>
  <r>
    <x v="7"/>
    <s v="2018-08"/>
    <n v="103"/>
    <n v="0"/>
    <n v="0"/>
  </r>
  <r>
    <x v="8"/>
    <s v="2016-10"/>
    <n v="7"/>
    <n v="0"/>
    <n v="0"/>
  </r>
  <r>
    <x v="8"/>
    <s v="2017-01"/>
    <n v="18"/>
    <n v="0"/>
    <n v="0"/>
  </r>
  <r>
    <x v="8"/>
    <s v="2017-02"/>
    <n v="24"/>
    <n v="1"/>
    <n v="4.1666666666666661"/>
  </r>
  <r>
    <x v="8"/>
    <s v="2017-03"/>
    <n v="47"/>
    <n v="0"/>
    <n v="0"/>
  </r>
  <r>
    <x v="8"/>
    <s v="2017-04"/>
    <n v="38"/>
    <n v="3"/>
    <n v="7.8947368421052628"/>
  </r>
  <r>
    <x v="8"/>
    <s v="2017-05"/>
    <n v="83"/>
    <n v="3"/>
    <n v="3.6144578313253009"/>
  </r>
  <r>
    <x v="8"/>
    <s v="2017-06"/>
    <n v="73"/>
    <n v="3"/>
    <n v="4.10958904109589"/>
  </r>
  <r>
    <x v="8"/>
    <s v="2017-07"/>
    <n v="77"/>
    <n v="3"/>
    <n v="3.8961038961038961"/>
  </r>
  <r>
    <x v="8"/>
    <s v="2017-08"/>
    <n v="89"/>
    <n v="2"/>
    <n v="2.2471910112359552"/>
  </r>
  <r>
    <x v="8"/>
    <s v="2017-09"/>
    <n v="84"/>
    <n v="2"/>
    <n v="2.3809523809523809"/>
  </r>
  <r>
    <x v="8"/>
    <s v="2017-10"/>
    <n v="106"/>
    <n v="2"/>
    <n v="1.8867924528301889"/>
  </r>
  <r>
    <x v="8"/>
    <s v="2017-11"/>
    <n v="153"/>
    <n v="20"/>
    <n v="13.071895424836599"/>
  </r>
  <r>
    <x v="8"/>
    <s v="2017-12"/>
    <n v="125"/>
    <n v="9"/>
    <n v="7.1999999999999993"/>
  </r>
  <r>
    <x v="8"/>
    <s v="2018-01"/>
    <n v="144"/>
    <n v="7"/>
    <n v="4.8611111111111116"/>
  </r>
  <r>
    <x v="8"/>
    <s v="2018-02"/>
    <n v="146"/>
    <n v="23"/>
    <n v="15.75342465753425"/>
  </r>
  <r>
    <x v="8"/>
    <s v="2018-03"/>
    <n v="141"/>
    <n v="28"/>
    <n v="19.8581560283688"/>
  </r>
  <r>
    <x v="8"/>
    <s v="2018-04"/>
    <n v="132"/>
    <n v="6"/>
    <n v="4.5454545454545459"/>
  </r>
  <r>
    <x v="8"/>
    <s v="2018-05"/>
    <n v="136"/>
    <n v="7"/>
    <n v="5.1470588235294112"/>
  </r>
  <r>
    <x v="8"/>
    <s v="2018-06"/>
    <n v="105"/>
    <n v="1"/>
    <n v="0.95238095238095244"/>
  </r>
  <r>
    <x v="8"/>
    <s v="2018-07"/>
    <n v="112"/>
    <n v="5"/>
    <n v="4.4642857142857144"/>
  </r>
  <r>
    <x v="8"/>
    <s v="2018-08"/>
    <n v="117"/>
    <n v="3"/>
    <n v="2.5641025641025639"/>
  </r>
  <r>
    <x v="9"/>
    <s v="2016-10"/>
    <n v="4"/>
    <n v="0"/>
    <n v="0"/>
  </r>
  <r>
    <x v="9"/>
    <s v="2017-01"/>
    <n v="6"/>
    <n v="1"/>
    <n v="16.666666666666661"/>
  </r>
  <r>
    <x v="9"/>
    <s v="2017-02"/>
    <n v="11"/>
    <n v="0"/>
    <n v="0"/>
  </r>
  <r>
    <x v="9"/>
    <s v="2017-03"/>
    <n v="22"/>
    <n v="4"/>
    <n v="18.18181818181818"/>
  </r>
  <r>
    <x v="9"/>
    <s v="2017-04"/>
    <n v="25"/>
    <n v="1"/>
    <n v="4"/>
  </r>
  <r>
    <x v="9"/>
    <s v="2017-05"/>
    <n v="31"/>
    <n v="0"/>
    <n v="0"/>
  </r>
  <r>
    <x v="9"/>
    <s v="2017-06"/>
    <n v="15"/>
    <n v="0"/>
    <n v="0"/>
  </r>
  <r>
    <x v="9"/>
    <s v="2017-07"/>
    <n v="37"/>
    <n v="0"/>
    <n v="0"/>
  </r>
  <r>
    <x v="9"/>
    <s v="2017-08"/>
    <n v="38"/>
    <n v="2"/>
    <n v="5.2631578947368416"/>
  </r>
  <r>
    <x v="9"/>
    <s v="2017-09"/>
    <n v="41"/>
    <n v="3"/>
    <n v="7.3170731707317067"/>
  </r>
  <r>
    <x v="9"/>
    <s v="2017-10"/>
    <n v="48"/>
    <n v="12"/>
    <n v="25"/>
  </r>
  <r>
    <x v="9"/>
    <s v="2017-11"/>
    <n v="53"/>
    <n v="28"/>
    <n v="52.830188679245282"/>
  </r>
  <r>
    <x v="9"/>
    <s v="2017-12"/>
    <n v="40"/>
    <n v="5"/>
    <n v="12.5"/>
  </r>
  <r>
    <x v="9"/>
    <s v="2018-01"/>
    <n v="55"/>
    <n v="4"/>
    <n v="7.2727272727272716"/>
  </r>
  <r>
    <x v="9"/>
    <s v="2018-02"/>
    <n v="55"/>
    <n v="18"/>
    <n v="32.727272727272727"/>
  </r>
  <r>
    <x v="9"/>
    <s v="2018-03"/>
    <n v="49"/>
    <n v="25"/>
    <n v="51.020408163265309"/>
  </r>
  <r>
    <x v="9"/>
    <s v="2018-04"/>
    <n v="46"/>
    <n v="6"/>
    <n v="13.043478260869559"/>
  </r>
  <r>
    <x v="9"/>
    <s v="2018-05"/>
    <n v="32"/>
    <n v="2"/>
    <n v="6.25"/>
  </r>
  <r>
    <x v="9"/>
    <s v="2018-06"/>
    <n v="41"/>
    <n v="5"/>
    <n v="12.195121951219511"/>
  </r>
  <r>
    <x v="9"/>
    <s v="2018-07"/>
    <n v="39"/>
    <n v="7"/>
    <n v="17.948717948717949"/>
  </r>
  <r>
    <x v="9"/>
    <s v="2018-08"/>
    <n v="29"/>
    <n v="2"/>
    <n v="6.8965517241379306"/>
  </r>
  <r>
    <x v="10"/>
    <s v="2016-10"/>
    <n v="35"/>
    <n v="0"/>
    <n v="0"/>
  </r>
  <r>
    <x v="10"/>
    <s v="2017-01"/>
    <n v="102"/>
    <n v="0"/>
    <n v="0"/>
  </r>
  <r>
    <x v="10"/>
    <s v="2017-02"/>
    <n v="241"/>
    <n v="2"/>
    <n v="0.82987551867219922"/>
  </r>
  <r>
    <x v="10"/>
    <s v="2017-03"/>
    <n v="343"/>
    <n v="8"/>
    <n v="2.3323615160349851"/>
  </r>
  <r>
    <x v="10"/>
    <s v="2017-04"/>
    <n v="266"/>
    <n v="7"/>
    <n v="2.6315789473684208"/>
  </r>
  <r>
    <x v="10"/>
    <s v="2017-05"/>
    <n v="412"/>
    <n v="7"/>
    <n v="1.6990291262135919"/>
  </r>
  <r>
    <x v="10"/>
    <s v="2017-06"/>
    <n v="356"/>
    <n v="5"/>
    <n v="1.404494382022472"/>
  </r>
  <r>
    <x v="10"/>
    <s v="2017-07"/>
    <n v="435"/>
    <n v="4"/>
    <n v="0.91954022988505757"/>
  </r>
  <r>
    <x v="10"/>
    <s v="2017-08"/>
    <n v="459"/>
    <n v="11"/>
    <n v="2.3965141612200438"/>
  </r>
  <r>
    <x v="10"/>
    <s v="2017-09"/>
    <n v="493"/>
    <n v="5"/>
    <n v="1.01419878296146"/>
  </r>
  <r>
    <x v="10"/>
    <s v="2017-10"/>
    <n v="542"/>
    <n v="5"/>
    <n v="0.92250922509225075"/>
  </r>
  <r>
    <x v="10"/>
    <s v="2017-11"/>
    <n v="922"/>
    <n v="66"/>
    <n v="7.1583514099783088"/>
  </r>
  <r>
    <x v="10"/>
    <s v="2017-12"/>
    <n v="669"/>
    <n v="23"/>
    <n v="3.4379671150971598"/>
  </r>
  <r>
    <x v="10"/>
    <s v="2018-01"/>
    <n v="846"/>
    <n v="26"/>
    <n v="3.0732860520094558"/>
  </r>
  <r>
    <x v="10"/>
    <s v="2018-02"/>
    <n v="790"/>
    <n v="66"/>
    <n v="8.3544303797468356"/>
  </r>
  <r>
    <x v="10"/>
    <s v="2018-03"/>
    <n v="856"/>
    <n v="175"/>
    <n v="20.443925233644869"/>
  </r>
  <r>
    <x v="10"/>
    <s v="2018-04"/>
    <n v="778"/>
    <n v="19"/>
    <n v="2.442159383033419"/>
  </r>
  <r>
    <x v="10"/>
    <s v="2018-05"/>
    <n v="751"/>
    <n v="69"/>
    <n v="9.1877496671105181"/>
  </r>
  <r>
    <x v="10"/>
    <s v="2018-06"/>
    <n v="714"/>
    <n v="1"/>
    <n v="0.14005602240896359"/>
  </r>
  <r>
    <x v="10"/>
    <s v="2018-07"/>
    <n v="644"/>
    <n v="8"/>
    <n v="1.24223602484472"/>
  </r>
  <r>
    <x v="10"/>
    <s v="2018-08"/>
    <n v="700"/>
    <n v="12"/>
    <n v="1.714285714285714"/>
  </r>
  <r>
    <x v="11"/>
    <s v="2017-01"/>
    <n v="1"/>
    <n v="0"/>
    <n v="0"/>
  </r>
  <r>
    <x v="11"/>
    <s v="2017-02"/>
    <n v="11"/>
    <n v="0"/>
    <n v="0"/>
  </r>
  <r>
    <x v="11"/>
    <s v="2017-03"/>
    <n v="19"/>
    <n v="0"/>
    <n v="0"/>
  </r>
  <r>
    <x v="11"/>
    <s v="2017-04"/>
    <n v="15"/>
    <n v="1"/>
    <n v="6.666666666666667"/>
  </r>
  <r>
    <x v="11"/>
    <s v="2017-05"/>
    <n v="26"/>
    <n v="0"/>
    <n v="0"/>
  </r>
  <r>
    <x v="11"/>
    <s v="2017-06"/>
    <n v="27"/>
    <n v="0"/>
    <n v="0"/>
  </r>
  <r>
    <x v="11"/>
    <s v="2017-07"/>
    <n v="24"/>
    <n v="0"/>
    <n v="0"/>
  </r>
  <r>
    <x v="11"/>
    <s v="2017-08"/>
    <n v="24"/>
    <n v="0"/>
    <n v="0"/>
  </r>
  <r>
    <x v="11"/>
    <s v="2017-09"/>
    <n v="32"/>
    <n v="0"/>
    <n v="0"/>
  </r>
  <r>
    <x v="11"/>
    <s v="2017-10"/>
    <n v="33"/>
    <n v="2"/>
    <n v="6.0606060606060614"/>
  </r>
  <r>
    <x v="11"/>
    <s v="2017-11"/>
    <n v="44"/>
    <n v="4"/>
    <n v="9.0909090909090917"/>
  </r>
  <r>
    <x v="11"/>
    <s v="2017-12"/>
    <n v="34"/>
    <n v="2"/>
    <n v="5.8823529411764701"/>
  </r>
  <r>
    <x v="11"/>
    <s v="2018-01"/>
    <n v="70"/>
    <n v="3"/>
    <n v="4.2857142857142856"/>
  </r>
  <r>
    <x v="11"/>
    <s v="2018-02"/>
    <n v="64"/>
    <n v="13"/>
    <n v="20.3125"/>
  </r>
  <r>
    <x v="11"/>
    <s v="2018-03"/>
    <n v="57"/>
    <n v="23"/>
    <n v="40.350877192982452"/>
  </r>
  <r>
    <x v="11"/>
    <s v="2018-04"/>
    <n v="43"/>
    <n v="3"/>
    <n v="6.9767441860465116"/>
  </r>
  <r>
    <x v="11"/>
    <s v="2018-05"/>
    <n v="44"/>
    <n v="4"/>
    <n v="9.0909090909090917"/>
  </r>
  <r>
    <x v="11"/>
    <s v="2018-06"/>
    <n v="49"/>
    <n v="1"/>
    <n v="2.0408163265306118"/>
  </r>
  <r>
    <x v="11"/>
    <s v="2018-07"/>
    <n v="49"/>
    <n v="2"/>
    <n v="4.0816326530612246"/>
  </r>
  <r>
    <x v="11"/>
    <s v="2018-08"/>
    <n v="35"/>
    <n v="10"/>
    <n v="28.571428571428569"/>
  </r>
  <r>
    <x v="12"/>
    <s v="2016-10"/>
    <n v="1"/>
    <n v="0"/>
    <n v="0"/>
  </r>
  <r>
    <x v="12"/>
    <s v="2017-01"/>
    <n v="9"/>
    <n v="0"/>
    <n v="0"/>
  </r>
  <r>
    <x v="12"/>
    <s v="2017-02"/>
    <n v="17"/>
    <n v="0"/>
    <n v="0"/>
  </r>
  <r>
    <x v="12"/>
    <s v="2017-03"/>
    <n v="16"/>
    <n v="4"/>
    <n v="25"/>
  </r>
  <r>
    <x v="12"/>
    <s v="2017-04"/>
    <n v="25"/>
    <n v="2"/>
    <n v="8"/>
  </r>
  <r>
    <x v="12"/>
    <s v="2017-05"/>
    <n v="37"/>
    <n v="1"/>
    <n v="2.7027027027027022"/>
  </r>
  <r>
    <x v="12"/>
    <s v="2017-06"/>
    <n v="24"/>
    <n v="1"/>
    <n v="4.1666666666666661"/>
  </r>
  <r>
    <x v="12"/>
    <s v="2017-07"/>
    <n v="37"/>
    <n v="0"/>
    <n v="0"/>
  </r>
  <r>
    <x v="12"/>
    <s v="2017-08"/>
    <n v="38"/>
    <n v="0"/>
    <n v="0"/>
  </r>
  <r>
    <x v="12"/>
    <s v="2017-09"/>
    <n v="34"/>
    <n v="2"/>
    <n v="5.8823529411764701"/>
  </r>
  <r>
    <x v="12"/>
    <s v="2017-10"/>
    <n v="50"/>
    <n v="1"/>
    <n v="2"/>
  </r>
  <r>
    <x v="12"/>
    <s v="2017-11"/>
    <n v="73"/>
    <n v="9"/>
    <n v="12.328767123287671"/>
  </r>
  <r>
    <x v="12"/>
    <s v="2017-12"/>
    <n v="49"/>
    <n v="5"/>
    <n v="10.204081632653059"/>
  </r>
  <r>
    <x v="12"/>
    <s v="2018-01"/>
    <n v="83"/>
    <n v="3"/>
    <n v="3.6144578313253009"/>
  </r>
  <r>
    <x v="12"/>
    <s v="2018-02"/>
    <n v="67"/>
    <n v="8"/>
    <n v="11.940298507462691"/>
  </r>
  <r>
    <x v="12"/>
    <s v="2018-03"/>
    <n v="52"/>
    <n v="13"/>
    <n v="25"/>
  </r>
  <r>
    <x v="12"/>
    <s v="2018-04"/>
    <n v="64"/>
    <n v="1"/>
    <n v="1.5625"/>
  </r>
  <r>
    <x v="12"/>
    <s v="2018-05"/>
    <n v="66"/>
    <n v="2"/>
    <n v="3.0303030303030298"/>
  </r>
  <r>
    <x v="12"/>
    <s v="2018-06"/>
    <n v="58"/>
    <n v="1"/>
    <n v="1.7241379310344831"/>
  </r>
  <r>
    <x v="12"/>
    <s v="2018-07"/>
    <n v="47"/>
    <n v="0"/>
    <n v="0"/>
  </r>
  <r>
    <x v="12"/>
    <s v="2018-08"/>
    <n v="39"/>
    <n v="0"/>
    <n v="0"/>
  </r>
  <r>
    <x v="13"/>
    <s v="2016-10"/>
    <n v="4"/>
    <n v="0"/>
    <n v="0"/>
  </r>
  <r>
    <x v="13"/>
    <s v="2017-01"/>
    <n v="10"/>
    <n v="0"/>
    <n v="0"/>
  </r>
  <r>
    <x v="13"/>
    <s v="2017-02"/>
    <n v="24"/>
    <n v="0"/>
    <n v="0"/>
  </r>
  <r>
    <x v="13"/>
    <s v="2017-03"/>
    <n v="35"/>
    <n v="3"/>
    <n v="8.5714285714285712"/>
  </r>
  <r>
    <x v="13"/>
    <s v="2017-04"/>
    <n v="36"/>
    <n v="0"/>
    <n v="0"/>
  </r>
  <r>
    <x v="13"/>
    <s v="2017-05"/>
    <n v="35"/>
    <n v="1"/>
    <n v="2.8571428571428572"/>
  </r>
  <r>
    <x v="13"/>
    <s v="2017-06"/>
    <n v="36"/>
    <n v="2"/>
    <n v="5.5555555555555554"/>
  </r>
  <r>
    <x v="13"/>
    <s v="2017-07"/>
    <n v="36"/>
    <n v="3"/>
    <n v="8.3333333333333321"/>
  </r>
  <r>
    <x v="13"/>
    <s v="2017-08"/>
    <n v="57"/>
    <n v="0"/>
    <n v="0"/>
  </r>
  <r>
    <x v="13"/>
    <s v="2017-09"/>
    <n v="41"/>
    <n v="5"/>
    <n v="12.195121951219511"/>
  </r>
  <r>
    <x v="13"/>
    <s v="2017-10"/>
    <n v="52"/>
    <n v="3"/>
    <n v="5.7692307692307692"/>
  </r>
  <r>
    <x v="13"/>
    <s v="2017-11"/>
    <n v="69"/>
    <n v="10"/>
    <n v="14.49275362318841"/>
  </r>
  <r>
    <x v="13"/>
    <s v="2017-12"/>
    <n v="58"/>
    <n v="4"/>
    <n v="6.8965517241379306"/>
  </r>
  <r>
    <x v="13"/>
    <s v="2018-01"/>
    <n v="69"/>
    <n v="6"/>
    <n v="8.695652173913043"/>
  </r>
  <r>
    <x v="13"/>
    <s v="2018-02"/>
    <n v="57"/>
    <n v="7"/>
    <n v="12.28070175438596"/>
  </r>
  <r>
    <x v="13"/>
    <s v="2018-03"/>
    <n v="67"/>
    <n v="34"/>
    <n v="50.746268656716417"/>
  </r>
  <r>
    <x v="13"/>
    <s v="2018-04"/>
    <n v="66"/>
    <n v="20"/>
    <n v="30.303030303030301"/>
  </r>
  <r>
    <x v="13"/>
    <s v="2018-05"/>
    <n v="40"/>
    <n v="5"/>
    <n v="12.5"/>
  </r>
  <r>
    <x v="13"/>
    <s v="2018-06"/>
    <n v="54"/>
    <n v="0"/>
    <n v="0"/>
  </r>
  <r>
    <x v="13"/>
    <s v="2018-07"/>
    <n v="57"/>
    <n v="3"/>
    <n v="5.2631578947368416"/>
  </r>
  <r>
    <x v="13"/>
    <s v="2018-08"/>
    <n v="43"/>
    <n v="0"/>
    <n v="0"/>
  </r>
  <r>
    <x v="14"/>
    <s v="2016-10"/>
    <n v="1"/>
    <n v="0"/>
    <n v="0"/>
  </r>
  <r>
    <x v="14"/>
    <s v="2017-01"/>
    <n v="2"/>
    <n v="0"/>
    <n v="0"/>
  </r>
  <r>
    <x v="14"/>
    <s v="2017-02"/>
    <n v="11"/>
    <n v="1"/>
    <n v="9.0909090909090917"/>
  </r>
  <r>
    <x v="14"/>
    <s v="2017-03"/>
    <n v="16"/>
    <n v="1"/>
    <n v="6.25"/>
  </r>
  <r>
    <x v="14"/>
    <s v="2017-04"/>
    <n v="20"/>
    <n v="3"/>
    <n v="15"/>
  </r>
  <r>
    <x v="14"/>
    <s v="2017-05"/>
    <n v="17"/>
    <n v="1"/>
    <n v="5.8823529411764701"/>
  </r>
  <r>
    <x v="14"/>
    <s v="2017-06"/>
    <n v="22"/>
    <n v="2"/>
    <n v="9.0909090909090917"/>
  </r>
  <r>
    <x v="14"/>
    <s v="2017-07"/>
    <n v="26"/>
    <n v="5"/>
    <n v="19.230769230769241"/>
  </r>
  <r>
    <x v="14"/>
    <s v="2017-08"/>
    <n v="16"/>
    <n v="1"/>
    <n v="6.25"/>
  </r>
  <r>
    <x v="14"/>
    <s v="2017-09"/>
    <n v="25"/>
    <n v="7"/>
    <n v="28"/>
  </r>
  <r>
    <x v="14"/>
    <s v="2017-10"/>
    <n v="28"/>
    <n v="0"/>
    <n v="0"/>
  </r>
  <r>
    <x v="14"/>
    <s v="2017-11"/>
    <n v="27"/>
    <n v="5"/>
    <n v="18.518518518518519"/>
  </r>
  <r>
    <x v="14"/>
    <s v="2017-12"/>
    <n v="37"/>
    <n v="4"/>
    <n v="10.810810810810811"/>
  </r>
  <r>
    <x v="14"/>
    <s v="2018-01"/>
    <n v="31"/>
    <n v="4"/>
    <n v="12.90322580645161"/>
  </r>
  <r>
    <x v="14"/>
    <s v="2018-02"/>
    <n v="35"/>
    <n v="3"/>
    <n v="8.5714285714285712"/>
  </r>
  <r>
    <x v="14"/>
    <s v="2018-03"/>
    <n v="39"/>
    <n v="5"/>
    <n v="12.820512820512819"/>
  </r>
  <r>
    <x v="14"/>
    <s v="2018-04"/>
    <n v="28"/>
    <n v="6"/>
    <n v="21.428571428571431"/>
  </r>
  <r>
    <x v="14"/>
    <s v="2018-05"/>
    <n v="29"/>
    <n v="1"/>
    <n v="3.4482758620689649"/>
  </r>
  <r>
    <x v="14"/>
    <s v="2018-06"/>
    <n v="28"/>
    <n v="1"/>
    <n v="3.5714285714285712"/>
  </r>
  <r>
    <x v="14"/>
    <s v="2018-07"/>
    <n v="51"/>
    <n v="2"/>
    <n v="3.9215686274509798"/>
  </r>
  <r>
    <x v="14"/>
    <s v="2018-08"/>
    <n v="28"/>
    <n v="2"/>
    <n v="7.1428571428571423"/>
  </r>
  <r>
    <x v="15"/>
    <s v="2016-10"/>
    <n v="6"/>
    <n v="0"/>
    <n v="0"/>
  </r>
  <r>
    <x v="15"/>
    <s v="2017-01"/>
    <n v="9"/>
    <n v="1"/>
    <n v="11.111111111111111"/>
  </r>
  <r>
    <x v="15"/>
    <s v="2017-02"/>
    <n v="20"/>
    <n v="1"/>
    <n v="5"/>
  </r>
  <r>
    <x v="15"/>
    <s v="2017-03"/>
    <n v="36"/>
    <n v="1"/>
    <n v="2.7777777777777781"/>
  </r>
  <r>
    <x v="15"/>
    <s v="2017-04"/>
    <n v="36"/>
    <n v="3"/>
    <n v="8.3333333333333321"/>
  </r>
  <r>
    <x v="15"/>
    <s v="2017-05"/>
    <n v="63"/>
    <n v="1"/>
    <n v="1.587301587301587"/>
  </r>
  <r>
    <x v="15"/>
    <s v="2017-06"/>
    <n v="41"/>
    <n v="2"/>
    <n v="4.8780487804878048"/>
  </r>
  <r>
    <x v="15"/>
    <s v="2017-07"/>
    <n v="70"/>
    <n v="13"/>
    <n v="18.571428571428569"/>
  </r>
  <r>
    <x v="15"/>
    <s v="2017-08"/>
    <n v="83"/>
    <n v="12"/>
    <n v="14.4578313253012"/>
  </r>
  <r>
    <x v="15"/>
    <s v="2017-09"/>
    <n v="74"/>
    <n v="6"/>
    <n v="8.1081081081081088"/>
  </r>
  <r>
    <x v="15"/>
    <s v="2017-10"/>
    <n v="77"/>
    <n v="5"/>
    <n v="6.4935064935064926"/>
  </r>
  <r>
    <x v="15"/>
    <s v="2017-11"/>
    <n v="125"/>
    <n v="15"/>
    <n v="12"/>
  </r>
  <r>
    <x v="15"/>
    <s v="2017-12"/>
    <n v="101"/>
    <n v="8"/>
    <n v="7.9207920792079207"/>
  </r>
  <r>
    <x v="15"/>
    <s v="2018-01"/>
    <n v="102"/>
    <n v="8"/>
    <n v="7.8431372549019596"/>
  </r>
  <r>
    <x v="15"/>
    <s v="2018-02"/>
    <n v="121"/>
    <n v="14"/>
    <n v="11.5702479338843"/>
  </r>
  <r>
    <x v="15"/>
    <s v="2018-03"/>
    <n v="107"/>
    <n v="22"/>
    <n v="20.5607476635514"/>
  </r>
  <r>
    <x v="15"/>
    <s v="2018-04"/>
    <n v="110"/>
    <n v="15"/>
    <n v="13.63636363636364"/>
  </r>
  <r>
    <x v="15"/>
    <s v="2018-05"/>
    <n v="102"/>
    <n v="12"/>
    <n v="11.76470588235294"/>
  </r>
  <r>
    <x v="15"/>
    <s v="2018-06"/>
    <n v="91"/>
    <n v="2"/>
    <n v="2.197802197802198"/>
  </r>
  <r>
    <x v="15"/>
    <s v="2018-07"/>
    <n v="136"/>
    <n v="8"/>
    <n v="5.8823529411764701"/>
  </r>
  <r>
    <x v="15"/>
    <s v="2018-08"/>
    <n v="83"/>
    <n v="4"/>
    <n v="4.8192771084337354"/>
  </r>
  <r>
    <x v="16"/>
    <s v="2016-10"/>
    <n v="1"/>
    <n v="0"/>
    <n v="0"/>
  </r>
  <r>
    <x v="16"/>
    <s v="2017-01"/>
    <n v="7"/>
    <n v="0"/>
    <n v="0"/>
  </r>
  <r>
    <x v="16"/>
    <s v="2017-02"/>
    <n v="10"/>
    <n v="0"/>
    <n v="0"/>
  </r>
  <r>
    <x v="16"/>
    <s v="2017-03"/>
    <n v="13"/>
    <n v="3"/>
    <n v="23.07692307692308"/>
  </r>
  <r>
    <x v="16"/>
    <s v="2017-04"/>
    <n v="11"/>
    <n v="0"/>
    <n v="0"/>
  </r>
  <r>
    <x v="16"/>
    <s v="2017-05"/>
    <n v="23"/>
    <n v="0"/>
    <n v="0"/>
  </r>
  <r>
    <x v="16"/>
    <s v="2017-06"/>
    <n v="14"/>
    <n v="0"/>
    <n v="0"/>
  </r>
  <r>
    <x v="16"/>
    <s v="2017-07"/>
    <n v="20"/>
    <n v="1"/>
    <n v="5"/>
  </r>
  <r>
    <x v="16"/>
    <s v="2017-08"/>
    <n v="20"/>
    <n v="0"/>
    <n v="0"/>
  </r>
  <r>
    <x v="16"/>
    <s v="2017-09"/>
    <n v="22"/>
    <n v="1"/>
    <n v="4.5454545454545459"/>
  </r>
  <r>
    <x v="16"/>
    <s v="2017-10"/>
    <n v="23"/>
    <n v="0"/>
    <n v="0"/>
  </r>
  <r>
    <x v="16"/>
    <s v="2017-11"/>
    <n v="31"/>
    <n v="15"/>
    <n v="48.387096774193552"/>
  </r>
  <r>
    <x v="16"/>
    <s v="2017-12"/>
    <n v="23"/>
    <n v="3"/>
    <n v="13.043478260869559"/>
  </r>
  <r>
    <x v="16"/>
    <s v="2018-01"/>
    <n v="47"/>
    <n v="5"/>
    <n v="10.63829787234042"/>
  </r>
  <r>
    <x v="16"/>
    <s v="2018-02"/>
    <n v="32"/>
    <n v="7"/>
    <n v="21.875"/>
  </r>
  <r>
    <x v="16"/>
    <s v="2018-03"/>
    <n v="34"/>
    <n v="10"/>
    <n v="29.411764705882359"/>
  </r>
  <r>
    <x v="16"/>
    <s v="2018-04"/>
    <n v="34"/>
    <n v="4"/>
    <n v="11.76470588235294"/>
  </r>
  <r>
    <x v="16"/>
    <s v="2018-05"/>
    <n v="30"/>
    <n v="6"/>
    <n v="20"/>
  </r>
  <r>
    <x v="16"/>
    <s v="2018-06"/>
    <n v="29"/>
    <n v="9"/>
    <n v="31.03448275862069"/>
  </r>
  <r>
    <x v="16"/>
    <s v="2018-07"/>
    <n v="32"/>
    <n v="2"/>
    <n v="6.25"/>
  </r>
  <r>
    <x v="16"/>
    <s v="2018-08"/>
    <n v="20"/>
    <n v="0"/>
    <n v="0"/>
  </r>
  <r>
    <x v="17"/>
    <s v="2016-10"/>
    <n v="19"/>
    <n v="0"/>
    <n v="0"/>
  </r>
  <r>
    <x v="17"/>
    <s v="2016-12"/>
    <n v="1"/>
    <n v="0"/>
    <n v="0"/>
  </r>
  <r>
    <x v="17"/>
    <s v="2017-01"/>
    <n v="62"/>
    <n v="2"/>
    <n v="3.225806451612903"/>
  </r>
  <r>
    <x v="17"/>
    <s v="2017-02"/>
    <n v="110"/>
    <n v="3"/>
    <n v="2.7272727272727271"/>
  </r>
  <r>
    <x v="17"/>
    <s v="2017-03"/>
    <n v="121"/>
    <n v="5"/>
    <n v="4.1322314049586781"/>
  </r>
  <r>
    <x v="17"/>
    <s v="2017-04"/>
    <n v="112"/>
    <n v="3"/>
    <n v="2.6785714285714279"/>
  </r>
  <r>
    <x v="17"/>
    <s v="2017-05"/>
    <n v="206"/>
    <n v="2"/>
    <n v="0.97087378640776678"/>
  </r>
  <r>
    <x v="17"/>
    <s v="2017-06"/>
    <n v="167"/>
    <n v="2"/>
    <n v="1.197604790419162"/>
  </r>
  <r>
    <x v="17"/>
    <s v="2017-07"/>
    <n v="195"/>
    <n v="1"/>
    <n v="0.51282051282051277"/>
  </r>
  <r>
    <x v="17"/>
    <s v="2017-08"/>
    <n v="220"/>
    <n v="0"/>
    <n v="0"/>
  </r>
  <r>
    <x v="17"/>
    <s v="2017-09"/>
    <n v="176"/>
    <n v="1"/>
    <n v="0.56818181818181823"/>
  </r>
  <r>
    <x v="17"/>
    <s v="2017-10"/>
    <n v="198"/>
    <n v="6"/>
    <n v="3.0303030303030298"/>
  </r>
  <r>
    <x v="17"/>
    <s v="2017-11"/>
    <n v="365"/>
    <n v="32"/>
    <n v="8.7671232876712324"/>
  </r>
  <r>
    <x v="17"/>
    <s v="2017-12"/>
    <n v="260"/>
    <n v="13"/>
    <n v="5"/>
  </r>
  <r>
    <x v="17"/>
    <s v="2018-01"/>
    <n v="371"/>
    <n v="6"/>
    <n v="1.617250673854447"/>
  </r>
  <r>
    <x v="17"/>
    <s v="2018-02"/>
    <n v="335"/>
    <n v="30"/>
    <n v="8.9552238805970141"/>
  </r>
  <r>
    <x v="17"/>
    <s v="2018-03"/>
    <n v="369"/>
    <n v="49"/>
    <n v="13.27913279132791"/>
  </r>
  <r>
    <x v="17"/>
    <s v="2018-04"/>
    <n v="381"/>
    <n v="5"/>
    <n v="1.3123359580052489"/>
  </r>
  <r>
    <x v="17"/>
    <s v="2018-05"/>
    <n v="308"/>
    <n v="23"/>
    <n v="7.4675324675324672"/>
  </r>
  <r>
    <x v="17"/>
    <s v="2018-06"/>
    <n v="306"/>
    <n v="0"/>
    <n v="0"/>
  </r>
  <r>
    <x v="17"/>
    <s v="2018-07"/>
    <n v="314"/>
    <n v="6"/>
    <n v="1.910828025477707"/>
  </r>
  <r>
    <x v="17"/>
    <s v="2018-08"/>
    <n v="327"/>
    <n v="10"/>
    <n v="3.0581039755351682"/>
  </r>
  <r>
    <x v="18"/>
    <s v="2016-10"/>
    <n v="40"/>
    <n v="0"/>
    <n v="0"/>
  </r>
  <r>
    <x v="18"/>
    <s v="2017-01"/>
    <n v="91"/>
    <n v="3"/>
    <n v="3.296703296703297"/>
  </r>
  <r>
    <x v="18"/>
    <s v="2017-02"/>
    <n v="230"/>
    <n v="8"/>
    <n v="3.4782608695652169"/>
  </r>
  <r>
    <x v="18"/>
    <s v="2017-03"/>
    <n v="370"/>
    <n v="16"/>
    <n v="4.3243243243243246"/>
  </r>
  <r>
    <x v="18"/>
    <s v="2017-04"/>
    <n v="325"/>
    <n v="21"/>
    <n v="6.4615384615384617"/>
  </r>
  <r>
    <x v="18"/>
    <s v="2017-05"/>
    <n v="466"/>
    <n v="13"/>
    <n v="2.7896995708154511"/>
  </r>
  <r>
    <x v="18"/>
    <s v="2017-06"/>
    <n v="399"/>
    <n v="13"/>
    <n v="3.2581453634085209"/>
  </r>
  <r>
    <x v="18"/>
    <s v="2017-07"/>
    <n v="547"/>
    <n v="17"/>
    <n v="3.1078610603290682"/>
  </r>
  <r>
    <x v="18"/>
    <s v="2017-08"/>
    <n v="537"/>
    <n v="16"/>
    <n v="2.9795158286778398"/>
  </r>
  <r>
    <x v="18"/>
    <s v="2017-09"/>
    <n v="591"/>
    <n v="30"/>
    <n v="5.0761421319796964"/>
  </r>
  <r>
    <x v="18"/>
    <s v="2017-10"/>
    <n v="654"/>
    <n v="45"/>
    <n v="6.8807339449541276"/>
  </r>
  <r>
    <x v="18"/>
    <s v="2017-11"/>
    <n v="1012"/>
    <n v="263"/>
    <n v="25.988142292490121"/>
  </r>
  <r>
    <x v="18"/>
    <s v="2017-12"/>
    <n v="746"/>
    <n v="179"/>
    <n v="23.99463806970509"/>
  </r>
  <r>
    <x v="18"/>
    <s v="2018-01"/>
    <n v="850"/>
    <n v="111"/>
    <n v="13.058823529411759"/>
  </r>
  <r>
    <x v="18"/>
    <s v="2018-02"/>
    <n v="879"/>
    <n v="299"/>
    <n v="34.015927189988624"/>
  </r>
  <r>
    <x v="18"/>
    <s v="2018-03"/>
    <n v="864"/>
    <n v="298"/>
    <n v="34.49074074074074"/>
  </r>
  <r>
    <x v="18"/>
    <s v="2018-04"/>
    <n v="807"/>
    <n v="39"/>
    <n v="4.8327137546468402"/>
  </r>
  <r>
    <x v="18"/>
    <s v="2018-05"/>
    <n v="816"/>
    <n v="56"/>
    <n v="6.8627450980392162"/>
  </r>
  <r>
    <x v="18"/>
    <s v="2018-06"/>
    <n v="707"/>
    <n v="9"/>
    <n v="1.272984441301273"/>
  </r>
  <r>
    <x v="18"/>
    <s v="2018-07"/>
    <n v="696"/>
    <n v="17"/>
    <n v="2.4425287356321839"/>
  </r>
  <r>
    <x v="18"/>
    <s v="2018-08"/>
    <n v="723"/>
    <n v="42"/>
    <n v="5.809128630705394"/>
  </r>
  <r>
    <x v="19"/>
    <s v="2016-10"/>
    <n v="4"/>
    <n v="0"/>
    <n v="0"/>
  </r>
  <r>
    <x v="19"/>
    <s v="2017-01"/>
    <n v="5"/>
    <n v="0"/>
    <n v="0"/>
  </r>
  <r>
    <x v="19"/>
    <s v="2017-02"/>
    <n v="8"/>
    <n v="0"/>
    <n v="0"/>
  </r>
  <r>
    <x v="19"/>
    <s v="2017-03"/>
    <n v="13"/>
    <n v="3"/>
    <n v="23.07692307692308"/>
  </r>
  <r>
    <x v="19"/>
    <s v="2017-04"/>
    <n v="10"/>
    <n v="0"/>
    <n v="0"/>
  </r>
  <r>
    <x v="19"/>
    <s v="2017-05"/>
    <n v="17"/>
    <n v="0"/>
    <n v="0"/>
  </r>
  <r>
    <x v="19"/>
    <s v="2017-06"/>
    <n v="12"/>
    <n v="1"/>
    <n v="8.3333333333333321"/>
  </r>
  <r>
    <x v="19"/>
    <s v="2017-07"/>
    <n v="27"/>
    <n v="3"/>
    <n v="11.111111111111111"/>
  </r>
  <r>
    <x v="19"/>
    <s v="2017-08"/>
    <n v="20"/>
    <n v="2"/>
    <n v="10"/>
  </r>
  <r>
    <x v="19"/>
    <s v="2017-09"/>
    <n v="23"/>
    <n v="3"/>
    <n v="13.043478260869559"/>
  </r>
  <r>
    <x v="19"/>
    <s v="2017-10"/>
    <n v="23"/>
    <n v="1"/>
    <n v="4.3478260869565224"/>
  </r>
  <r>
    <x v="19"/>
    <s v="2017-11"/>
    <n v="41"/>
    <n v="8"/>
    <n v="19.512195121951219"/>
  </r>
  <r>
    <x v="19"/>
    <s v="2017-12"/>
    <n v="30"/>
    <n v="2"/>
    <n v="6.666666666666667"/>
  </r>
  <r>
    <x v="19"/>
    <s v="2018-01"/>
    <n v="42"/>
    <n v="1"/>
    <n v="2.3809523809523809"/>
  </r>
  <r>
    <x v="19"/>
    <s v="2018-02"/>
    <n v="23"/>
    <n v="2"/>
    <n v="8.695652173913043"/>
  </r>
  <r>
    <x v="19"/>
    <s v="2018-03"/>
    <n v="38"/>
    <n v="7"/>
    <n v="18.421052631578949"/>
  </r>
  <r>
    <x v="19"/>
    <s v="2018-04"/>
    <n v="32"/>
    <n v="10"/>
    <n v="31.25"/>
  </r>
  <r>
    <x v="19"/>
    <s v="2018-05"/>
    <n v="22"/>
    <n v="1"/>
    <n v="4.5454545454545459"/>
  </r>
  <r>
    <x v="19"/>
    <s v="2018-06"/>
    <n v="35"/>
    <n v="0"/>
    <n v="0"/>
  </r>
  <r>
    <x v="19"/>
    <s v="2018-07"/>
    <n v="29"/>
    <n v="0"/>
    <n v="0"/>
  </r>
  <r>
    <x v="19"/>
    <s v="2018-08"/>
    <n v="20"/>
    <n v="0"/>
    <n v="0"/>
  </r>
  <r>
    <x v="20"/>
    <s v="2017-01"/>
    <n v="3"/>
    <n v="0"/>
    <n v="0"/>
  </r>
  <r>
    <x v="20"/>
    <s v="2017-02"/>
    <n v="9"/>
    <n v="0"/>
    <n v="0"/>
  </r>
  <r>
    <x v="20"/>
    <s v="2017-03"/>
    <n v="16"/>
    <n v="2"/>
    <n v="12.5"/>
  </r>
  <r>
    <x v="20"/>
    <s v="2017-04"/>
    <n v="7"/>
    <n v="1"/>
    <n v="14.285714285714279"/>
  </r>
  <r>
    <x v="20"/>
    <s v="2017-05"/>
    <n v="8"/>
    <n v="0"/>
    <n v="0"/>
  </r>
  <r>
    <x v="20"/>
    <s v="2017-06"/>
    <n v="10"/>
    <n v="0"/>
    <n v="0"/>
  </r>
  <r>
    <x v="20"/>
    <s v="2017-07"/>
    <n v="10"/>
    <n v="0"/>
    <n v="0"/>
  </r>
  <r>
    <x v="20"/>
    <s v="2017-08"/>
    <n v="14"/>
    <n v="0"/>
    <n v="0"/>
  </r>
  <r>
    <x v="20"/>
    <s v="2017-09"/>
    <n v="16"/>
    <n v="0"/>
    <n v="0"/>
  </r>
  <r>
    <x v="20"/>
    <s v="2017-10"/>
    <n v="13"/>
    <n v="0"/>
    <n v="0"/>
  </r>
  <r>
    <x v="20"/>
    <s v="2017-11"/>
    <n v="17"/>
    <n v="0"/>
    <n v="0"/>
  </r>
  <r>
    <x v="20"/>
    <s v="2017-12"/>
    <n v="11"/>
    <n v="0"/>
    <n v="0"/>
  </r>
  <r>
    <x v="20"/>
    <s v="2018-01"/>
    <n v="20"/>
    <n v="1"/>
    <n v="5"/>
  </r>
  <r>
    <x v="20"/>
    <s v="2018-02"/>
    <n v="13"/>
    <n v="0"/>
    <n v="0"/>
  </r>
  <r>
    <x v="20"/>
    <s v="2018-03"/>
    <n v="13"/>
    <n v="3"/>
    <n v="23.07692307692308"/>
  </r>
  <r>
    <x v="20"/>
    <s v="2018-04"/>
    <n v="11"/>
    <n v="0"/>
    <n v="0"/>
  </r>
  <r>
    <x v="20"/>
    <s v="2018-05"/>
    <n v="17"/>
    <n v="0"/>
    <n v="0"/>
  </r>
  <r>
    <x v="20"/>
    <s v="2018-06"/>
    <n v="11"/>
    <n v="0"/>
    <n v="0"/>
  </r>
  <r>
    <x v="20"/>
    <s v="2018-07"/>
    <n v="16"/>
    <n v="0"/>
    <n v="0"/>
  </r>
  <r>
    <x v="20"/>
    <s v="2018-08"/>
    <n v="8"/>
    <n v="0"/>
    <n v="0"/>
  </r>
  <r>
    <x v="21"/>
    <s v="2016-10"/>
    <n v="1"/>
    <n v="0"/>
    <n v="0"/>
  </r>
  <r>
    <x v="21"/>
    <s v="2017-02"/>
    <n v="2"/>
    <n v="0"/>
    <n v="0"/>
  </r>
  <r>
    <x v="21"/>
    <s v="2017-03"/>
    <n v="2"/>
    <n v="1"/>
    <n v="50"/>
  </r>
  <r>
    <x v="21"/>
    <s v="2017-04"/>
    <n v="2"/>
    <n v="0"/>
    <n v="0"/>
  </r>
  <r>
    <x v="21"/>
    <s v="2017-05"/>
    <n v="2"/>
    <n v="0"/>
    <n v="0"/>
  </r>
  <r>
    <x v="21"/>
    <s v="2017-06"/>
    <n v="3"/>
    <n v="0"/>
    <n v="0"/>
  </r>
  <r>
    <x v="21"/>
    <s v="2017-07"/>
    <n v="1"/>
    <n v="0"/>
    <n v="0"/>
  </r>
  <r>
    <x v="21"/>
    <s v="2017-09"/>
    <n v="1"/>
    <n v="0"/>
    <n v="0"/>
  </r>
  <r>
    <x v="21"/>
    <s v="2017-10"/>
    <n v="3"/>
    <n v="1"/>
    <n v="33.333333333333329"/>
  </r>
  <r>
    <x v="21"/>
    <s v="2017-11"/>
    <n v="2"/>
    <n v="1"/>
    <n v="50"/>
  </r>
  <r>
    <x v="21"/>
    <s v="2018-01"/>
    <n v="1"/>
    <n v="0"/>
    <n v="0"/>
  </r>
  <r>
    <x v="21"/>
    <s v="2018-02"/>
    <n v="3"/>
    <n v="1"/>
    <n v="33.333333333333329"/>
  </r>
  <r>
    <x v="21"/>
    <s v="2018-03"/>
    <n v="5"/>
    <n v="0"/>
    <n v="0"/>
  </r>
  <r>
    <x v="21"/>
    <s v="2018-04"/>
    <n v="2"/>
    <n v="1"/>
    <n v="50"/>
  </r>
  <r>
    <x v="21"/>
    <s v="2018-05"/>
    <n v="1"/>
    <n v="0"/>
    <n v="0"/>
  </r>
  <r>
    <x v="21"/>
    <s v="2018-06"/>
    <n v="5"/>
    <n v="0"/>
    <n v="0"/>
  </r>
  <r>
    <x v="21"/>
    <s v="2018-07"/>
    <n v="5"/>
    <n v="0"/>
    <n v="0"/>
  </r>
  <r>
    <x v="22"/>
    <s v="2016-10"/>
    <n v="17"/>
    <n v="0"/>
    <n v="0"/>
  </r>
  <r>
    <x v="22"/>
    <s v="2017-01"/>
    <n v="52"/>
    <n v="1"/>
    <n v="1.9230769230769229"/>
  </r>
  <r>
    <x v="22"/>
    <s v="2017-02"/>
    <n v="100"/>
    <n v="3"/>
    <n v="3"/>
  </r>
  <r>
    <x v="22"/>
    <s v="2017-03"/>
    <n v="144"/>
    <n v="2"/>
    <n v="1.3888888888888891"/>
  </r>
  <r>
    <x v="22"/>
    <s v="2017-04"/>
    <n v="132"/>
    <n v="3"/>
    <n v="2.2727272727272729"/>
  </r>
  <r>
    <x v="22"/>
    <s v="2017-05"/>
    <n v="205"/>
    <n v="1"/>
    <n v="0.48780487804878048"/>
  </r>
  <r>
    <x v="22"/>
    <s v="2017-06"/>
    <n v="215"/>
    <n v="1"/>
    <n v="0.46511627906976738"/>
  </r>
  <r>
    <x v="22"/>
    <s v="2017-07"/>
    <n v="242"/>
    <n v="6"/>
    <n v="2.4793388429752068"/>
  </r>
  <r>
    <x v="22"/>
    <s v="2017-08"/>
    <n v="296"/>
    <n v="22"/>
    <n v="7.4324324324324316"/>
  </r>
  <r>
    <x v="22"/>
    <s v="2017-09"/>
    <n v="273"/>
    <n v="5"/>
    <n v="1.8315018315018321"/>
  </r>
  <r>
    <x v="22"/>
    <s v="2017-10"/>
    <n v="244"/>
    <n v="5"/>
    <n v="2.0491803278688518"/>
  </r>
  <r>
    <x v="22"/>
    <s v="2017-11"/>
    <n v="409"/>
    <n v="52"/>
    <n v="12.713936430317849"/>
  </r>
  <r>
    <x v="22"/>
    <s v="2017-12"/>
    <n v="278"/>
    <n v="28"/>
    <n v="10.07194244604316"/>
  </r>
  <r>
    <x v="22"/>
    <s v="2018-01"/>
    <n v="367"/>
    <n v="30"/>
    <n v="8.1743869209809272"/>
  </r>
  <r>
    <x v="22"/>
    <s v="2018-02"/>
    <n v="363"/>
    <n v="48"/>
    <n v="13.223140495867771"/>
  </r>
  <r>
    <x v="22"/>
    <s v="2018-03"/>
    <n v="407"/>
    <n v="78"/>
    <n v="19.164619164619161"/>
  </r>
  <r>
    <x v="22"/>
    <s v="2018-04"/>
    <n v="345"/>
    <n v="12"/>
    <n v="3.4782608695652169"/>
  </r>
  <r>
    <x v="22"/>
    <s v="2018-05"/>
    <n v="350"/>
    <n v="10"/>
    <n v="2.8571428571428572"/>
  </r>
  <r>
    <x v="22"/>
    <s v="2018-06"/>
    <n v="304"/>
    <n v="4"/>
    <n v="1.31578947368421"/>
  </r>
  <r>
    <x v="22"/>
    <s v="2018-07"/>
    <n v="308"/>
    <n v="5"/>
    <n v="1.6233766233766229"/>
  </r>
  <r>
    <x v="22"/>
    <s v="2018-08"/>
    <n v="293"/>
    <n v="9"/>
    <n v="3.071672354948805"/>
  </r>
  <r>
    <x v="23"/>
    <s v="2016-10"/>
    <n v="9"/>
    <n v="0"/>
    <n v="0"/>
  </r>
  <r>
    <x v="23"/>
    <s v="2017-01"/>
    <n v="26"/>
    <n v="1"/>
    <n v="3.8461538461538458"/>
  </r>
  <r>
    <x v="23"/>
    <s v="2017-02"/>
    <n v="57"/>
    <n v="3"/>
    <n v="5.2631578947368416"/>
  </r>
  <r>
    <x v="23"/>
    <s v="2017-03"/>
    <n v="104"/>
    <n v="19"/>
    <n v="18.26923076923077"/>
  </r>
  <r>
    <x v="23"/>
    <s v="2017-04"/>
    <n v="100"/>
    <n v="9"/>
    <n v="9"/>
  </r>
  <r>
    <x v="23"/>
    <s v="2017-05"/>
    <n v="146"/>
    <n v="7"/>
    <n v="4.7945205479452051"/>
  </r>
  <r>
    <x v="23"/>
    <s v="2017-06"/>
    <n v="109"/>
    <n v="4"/>
    <n v="3.669724770642202"/>
  </r>
  <r>
    <x v="23"/>
    <s v="2017-07"/>
    <n v="152"/>
    <n v="7"/>
    <n v="4.6052631578947363"/>
  </r>
  <r>
    <x v="23"/>
    <s v="2017-08"/>
    <n v="152"/>
    <n v="4"/>
    <n v="2.6315789473684208"/>
  </r>
  <r>
    <x v="23"/>
    <s v="2017-09"/>
    <n v="153"/>
    <n v="11"/>
    <n v="7.18954248366013"/>
  </r>
  <r>
    <x v="23"/>
    <s v="2017-10"/>
    <n v="174"/>
    <n v="8"/>
    <n v="4.5977011494252871"/>
  </r>
  <r>
    <x v="23"/>
    <s v="2017-11"/>
    <n v="288"/>
    <n v="43"/>
    <n v="14.930555555555561"/>
  </r>
  <r>
    <x v="23"/>
    <s v="2017-12"/>
    <n v="192"/>
    <n v="8"/>
    <n v="4.1666666666666661"/>
  </r>
  <r>
    <x v="23"/>
    <s v="2018-01"/>
    <n v="311"/>
    <n v="31"/>
    <n v="9.9678456591639879"/>
  </r>
  <r>
    <x v="23"/>
    <s v="2018-02"/>
    <n v="254"/>
    <n v="61"/>
    <n v="24.015748031496059"/>
  </r>
  <r>
    <x v="23"/>
    <s v="2018-03"/>
    <n v="247"/>
    <n v="48"/>
    <n v="19.4331983805668"/>
  </r>
  <r>
    <x v="23"/>
    <s v="2018-04"/>
    <n v="245"/>
    <n v="5"/>
    <n v="2.0408163265306118"/>
  </r>
  <r>
    <x v="23"/>
    <s v="2018-05"/>
    <n v="226"/>
    <n v="12"/>
    <n v="5.3097345132743374"/>
  </r>
  <r>
    <x v="23"/>
    <s v="2018-06"/>
    <n v="205"/>
    <n v="0"/>
    <n v="0"/>
  </r>
  <r>
    <x v="23"/>
    <s v="2018-07"/>
    <n v="195"/>
    <n v="4"/>
    <n v="2.0512820512820511"/>
  </r>
  <r>
    <x v="23"/>
    <s v="2018-08"/>
    <n v="201"/>
    <n v="6"/>
    <n v="2.9850746268656718"/>
  </r>
  <r>
    <x v="24"/>
    <s v="2016-10"/>
    <n v="3"/>
    <n v="0"/>
    <n v="0"/>
  </r>
  <r>
    <x v="24"/>
    <s v="2017-01"/>
    <n v="4"/>
    <n v="0"/>
    <n v="0"/>
  </r>
  <r>
    <x v="24"/>
    <s v="2017-02"/>
    <n v="12"/>
    <n v="0"/>
    <n v="0"/>
  </r>
  <r>
    <x v="24"/>
    <s v="2017-03"/>
    <n v="22"/>
    <n v="3"/>
    <n v="13.63636363636364"/>
  </r>
  <r>
    <x v="24"/>
    <s v="2017-04"/>
    <n v="13"/>
    <n v="4"/>
    <n v="30.76923076923077"/>
  </r>
  <r>
    <x v="24"/>
    <s v="2017-05"/>
    <n v="11"/>
    <n v="0"/>
    <n v="0"/>
  </r>
  <r>
    <x v="24"/>
    <s v="2017-06"/>
    <n v="8"/>
    <n v="0"/>
    <n v="0"/>
  </r>
  <r>
    <x v="24"/>
    <s v="2017-07"/>
    <n v="13"/>
    <n v="0"/>
    <n v="0"/>
  </r>
  <r>
    <x v="24"/>
    <s v="2017-08"/>
    <n v="19"/>
    <n v="2"/>
    <n v="10.52631578947368"/>
  </r>
  <r>
    <x v="24"/>
    <s v="2017-09"/>
    <n v="16"/>
    <n v="2"/>
    <n v="12.5"/>
  </r>
  <r>
    <x v="24"/>
    <s v="2017-10"/>
    <n v="22"/>
    <n v="6"/>
    <n v="27.27272727272727"/>
  </r>
  <r>
    <x v="24"/>
    <s v="2017-11"/>
    <n v="26"/>
    <n v="7"/>
    <n v="26.92307692307692"/>
  </r>
  <r>
    <x v="24"/>
    <s v="2017-12"/>
    <n v="20"/>
    <n v="3"/>
    <n v="15"/>
  </r>
  <r>
    <x v="24"/>
    <s v="2018-01"/>
    <n v="19"/>
    <n v="1"/>
    <n v="5.2631578947368416"/>
  </r>
  <r>
    <x v="24"/>
    <s v="2018-02"/>
    <n v="15"/>
    <n v="2"/>
    <n v="13.33333333333333"/>
  </r>
  <r>
    <x v="24"/>
    <s v="2018-03"/>
    <n v="17"/>
    <n v="11"/>
    <n v="64.705882352941174"/>
  </r>
  <r>
    <x v="24"/>
    <s v="2018-04"/>
    <n v="13"/>
    <n v="6"/>
    <n v="46.153846153846153"/>
  </r>
  <r>
    <x v="24"/>
    <s v="2018-05"/>
    <n v="8"/>
    <n v="2"/>
    <n v="25"/>
  </r>
  <r>
    <x v="24"/>
    <s v="2018-06"/>
    <n v="25"/>
    <n v="0"/>
    <n v="0"/>
  </r>
  <r>
    <x v="24"/>
    <s v="2018-07"/>
    <n v="26"/>
    <n v="2"/>
    <n v="7.6923076923076934"/>
  </r>
  <r>
    <x v="24"/>
    <s v="2018-08"/>
    <n v="23"/>
    <n v="0"/>
    <n v="0"/>
  </r>
  <r>
    <x v="25"/>
    <s v="2016-09"/>
    <n v="1"/>
    <n v="1"/>
    <n v="100"/>
  </r>
  <r>
    <x v="25"/>
    <s v="2016-10"/>
    <n v="94"/>
    <n v="2"/>
    <n v="2.1276595744680851"/>
  </r>
  <r>
    <x v="25"/>
    <s v="2017-01"/>
    <n v="283"/>
    <n v="8"/>
    <n v="2.8268551236749122"/>
  </r>
  <r>
    <x v="25"/>
    <s v="2017-02"/>
    <n v="601"/>
    <n v="18"/>
    <n v="2.9950083194675541"/>
  </r>
  <r>
    <x v="25"/>
    <s v="2017-03"/>
    <n v="966"/>
    <n v="22"/>
    <n v="2.2774327122153211"/>
  </r>
  <r>
    <x v="25"/>
    <s v="2017-04"/>
    <n v="873"/>
    <n v="61"/>
    <n v="6.9873997709049256"/>
  </r>
  <r>
    <x v="25"/>
    <s v="2017-05"/>
    <n v="1363"/>
    <n v="58"/>
    <n v="4.2553191489361701"/>
  </r>
  <r>
    <x v="25"/>
    <s v="2017-06"/>
    <n v="1284"/>
    <n v="42"/>
    <n v="3.2710280373831768"/>
  </r>
  <r>
    <x v="25"/>
    <s v="2017-07"/>
    <n v="1543"/>
    <n v="28"/>
    <n v="1.814646791963707"/>
  </r>
  <r>
    <x v="25"/>
    <s v="2017-08"/>
    <n v="1665"/>
    <n v="34"/>
    <n v="2.0420420420420422"/>
  </r>
  <r>
    <x v="25"/>
    <s v="2017-09"/>
    <n v="1576"/>
    <n v="49"/>
    <n v="3.1091370558375639"/>
  </r>
  <r>
    <x v="25"/>
    <s v="2017-10"/>
    <n v="1723"/>
    <n v="56"/>
    <n v="3.2501450957632039"/>
  </r>
  <r>
    <x v="25"/>
    <s v="2017-11"/>
    <n v="2898"/>
    <n v="202"/>
    <n v="6.9703243616287089"/>
  </r>
  <r>
    <x v="25"/>
    <s v="2017-12"/>
    <n v="2295"/>
    <n v="72"/>
    <n v="3.1372549019607838"/>
  </r>
  <r>
    <x v="25"/>
    <s v="2018-01"/>
    <n v="2975"/>
    <n v="102"/>
    <n v="3.4285714285714288"/>
  </r>
  <r>
    <x v="25"/>
    <s v="2018-02"/>
    <n v="2632"/>
    <n v="193"/>
    <n v="7.3328267477203646"/>
  </r>
  <r>
    <x v="25"/>
    <s v="2018-03"/>
    <n v="2971"/>
    <n v="280"/>
    <n v="9.4244362167620324"/>
  </r>
  <r>
    <x v="25"/>
    <s v="2018-04"/>
    <n v="3002"/>
    <n v="51"/>
    <n v="1.698867421718854"/>
  </r>
  <r>
    <x v="25"/>
    <s v="2018-05"/>
    <n v="3138"/>
    <n v="136"/>
    <n v="4.3339706819630326"/>
  </r>
  <r>
    <x v="25"/>
    <s v="2018-06"/>
    <n v="2735"/>
    <n v="20"/>
    <n v="0.73126142595978061"/>
  </r>
  <r>
    <x v="25"/>
    <s v="2018-07"/>
    <n v="2712"/>
    <n v="100"/>
    <n v="3.6873156342182889"/>
  </r>
  <r>
    <x v="25"/>
    <s v="2018-08"/>
    <n v="3164"/>
    <n v="285"/>
    <n v="9.0075853350189643"/>
  </r>
  <r>
    <x v="26"/>
    <s v="2017-01"/>
    <n v="2"/>
    <n v="0"/>
    <n v="0"/>
  </r>
  <r>
    <x v="26"/>
    <s v="2017-02"/>
    <n v="7"/>
    <n v="0"/>
    <n v="0"/>
  </r>
  <r>
    <x v="26"/>
    <s v="2017-03"/>
    <n v="7"/>
    <n v="0"/>
    <n v="0"/>
  </r>
  <r>
    <x v="26"/>
    <s v="2017-04"/>
    <n v="13"/>
    <n v="2"/>
    <n v="15.38461538461538"/>
  </r>
  <r>
    <x v="26"/>
    <s v="2017-05"/>
    <n v="17"/>
    <n v="0"/>
    <n v="0"/>
  </r>
  <r>
    <x v="26"/>
    <s v="2017-06"/>
    <n v="8"/>
    <n v="0"/>
    <n v="0"/>
  </r>
  <r>
    <x v="26"/>
    <s v="2017-07"/>
    <n v="1"/>
    <n v="0"/>
    <n v="0"/>
  </r>
  <r>
    <x v="26"/>
    <s v="2017-08"/>
    <n v="15"/>
    <n v="0"/>
    <n v="0"/>
  </r>
  <r>
    <x v="26"/>
    <s v="2017-09"/>
    <n v="16"/>
    <n v="0"/>
    <n v="0"/>
  </r>
  <r>
    <x v="26"/>
    <s v="2017-10"/>
    <n v="13"/>
    <n v="0"/>
    <n v="0"/>
  </r>
  <r>
    <x v="26"/>
    <s v="2017-11"/>
    <n v="17"/>
    <n v="3"/>
    <n v="17.647058823529409"/>
  </r>
  <r>
    <x v="26"/>
    <s v="2017-12"/>
    <n v="14"/>
    <n v="0"/>
    <n v="0"/>
  </r>
  <r>
    <x v="26"/>
    <s v="2018-01"/>
    <n v="16"/>
    <n v="0"/>
    <n v="0"/>
  </r>
  <r>
    <x v="26"/>
    <s v="2018-02"/>
    <n v="20"/>
    <n v="9"/>
    <n v="45"/>
  </r>
  <r>
    <x v="26"/>
    <s v="2018-03"/>
    <n v="20"/>
    <n v="5"/>
    <n v="25"/>
  </r>
  <r>
    <x v="26"/>
    <s v="2018-04"/>
    <n v="19"/>
    <n v="1"/>
    <n v="5.2631578947368416"/>
  </r>
  <r>
    <x v="26"/>
    <s v="2018-05"/>
    <n v="16"/>
    <n v="4"/>
    <n v="25"/>
  </r>
  <r>
    <x v="26"/>
    <s v="2018-06"/>
    <n v="18"/>
    <n v="0"/>
    <n v="0"/>
  </r>
  <r>
    <x v="26"/>
    <s v="2018-07"/>
    <n v="22"/>
    <n v="1"/>
    <n v="4.5454545454545459"/>
  </r>
  <r>
    <x v="26"/>
    <s v="2018-08"/>
    <n v="13"/>
    <n v="2"/>
    <n v="15.38461538461538"/>
  </r>
  <r>
    <x v="2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64DD5-0E38-4AE5-9077-C3C57C7ACECC}" name="Tabela dinâmica1" cacheId="7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31" firstHeaderRow="0" firstDataRow="1" firstDataCol="1"/>
  <pivotFields count="5">
    <pivotField axis="axisRow" compact="0" outline="0" showAll="0" sortType="ascending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h="1" x="27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edidos_atrasados" fld="3" baseField="0" baseItem="0"/>
    <dataField name="Soma de pedidos_avaliaveis" fld="2" baseField="0" baseItem="0"/>
  </dataFields>
  <formats count="12">
    <format dxfId="0">
      <pivotArea type="all" dataOnly="0" outline="0" fieldPosition="0"/>
    </format>
    <format dxfId="1">
      <pivotArea outline="0" collapsedLevelsAreSubtotals="1" fieldPosition="0"/>
    </format>
    <format dxfId="2">
      <pivotArea field="0" type="button" dataOnly="0" labelOnly="1" outline="0" axis="axisRow" fieldPosition="0"/>
    </format>
    <format dxfId="3">
      <pivotArea dataOnly="0" labelOnly="1" outline="0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0" type="button" dataOnly="0" labelOnly="1" outline="0" axis="axisRow" fieldPosition="0"/>
    </format>
    <format dxfId="9">
      <pivotArea dataOnly="0" labelOnly="1" outline="0" fieldPosition="0">
        <references count="1">
          <reference field="0" count="0"/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0F8A-F582-4E1B-BB31-BB59F4BD4EF8}">
  <dimension ref="A1:G32"/>
  <sheetViews>
    <sheetView tabSelected="1" topLeftCell="F5" workbookViewId="0">
      <selection activeCell="G1" sqref="G1"/>
    </sheetView>
  </sheetViews>
  <sheetFormatPr defaultRowHeight="15"/>
  <cols>
    <col min="1" max="1" width="18.28515625" bestFit="1" customWidth="1"/>
    <col min="2" max="3" width="26.7109375" bestFit="1" customWidth="1"/>
    <col min="4" max="4" width="26.7109375" style="2" bestFit="1" customWidth="1"/>
    <col min="6" max="6" width="11.7109375" customWidth="1"/>
    <col min="7" max="7" width="14" bestFit="1" customWidth="1"/>
  </cols>
  <sheetData>
    <row r="1" spans="1:7">
      <c r="F1" s="4" t="s">
        <v>0</v>
      </c>
      <c r="G1" s="4" t="s">
        <v>1</v>
      </c>
    </row>
    <row r="2" spans="1:7">
      <c r="F2" s="6" t="s">
        <v>2</v>
      </c>
      <c r="G2" s="9">
        <v>0.2141057934508816</v>
      </c>
    </row>
    <row r="3" spans="1:7">
      <c r="A3" s="5" t="s">
        <v>3</v>
      </c>
      <c r="B3" s="6" t="s">
        <v>4</v>
      </c>
      <c r="C3" s="6" t="s">
        <v>5</v>
      </c>
      <c r="D3" s="7" t="s">
        <v>1</v>
      </c>
      <c r="F3" s="6" t="s">
        <v>6</v>
      </c>
      <c r="G3" s="9">
        <v>0.17433751743375175</v>
      </c>
    </row>
    <row r="4" spans="1:7">
      <c r="A4" s="6" t="s">
        <v>7</v>
      </c>
      <c r="B4" s="8">
        <v>3</v>
      </c>
      <c r="C4" s="8">
        <v>80</v>
      </c>
      <c r="D4" s="9">
        <f>B4/C4</f>
        <v>3.7499999999999999E-2</v>
      </c>
      <c r="F4" s="6" t="s">
        <v>8</v>
      </c>
      <c r="G4" s="9">
        <v>0.15223880597014924</v>
      </c>
    </row>
    <row r="5" spans="1:7">
      <c r="A5" s="6" t="s">
        <v>2</v>
      </c>
      <c r="B5" s="8">
        <v>85</v>
      </c>
      <c r="C5" s="8">
        <v>397</v>
      </c>
      <c r="D5" s="9">
        <f t="shared" ref="D5:D32" si="0">B5/C5</f>
        <v>0.2141057934508816</v>
      </c>
      <c r="F5" s="6" t="s">
        <v>9</v>
      </c>
      <c r="G5" s="9">
        <v>0.13865546218487396</v>
      </c>
    </row>
    <row r="6" spans="1:7">
      <c r="A6" s="6" t="s">
        <v>10</v>
      </c>
      <c r="B6" s="8">
        <v>4</v>
      </c>
      <c r="C6" s="8">
        <v>145</v>
      </c>
      <c r="D6" s="9">
        <f t="shared" si="0"/>
        <v>2.7586206896551724E-2</v>
      </c>
      <c r="F6" s="6" t="s">
        <v>11</v>
      </c>
      <c r="G6" s="9">
        <v>0.1376075058639562</v>
      </c>
    </row>
    <row r="7" spans="1:7">
      <c r="A7" s="6" t="s">
        <v>12</v>
      </c>
      <c r="B7" s="8">
        <v>2</v>
      </c>
      <c r="C7" s="8">
        <v>67</v>
      </c>
      <c r="D7" s="9">
        <f t="shared" si="0"/>
        <v>2.9850746268656716E-2</v>
      </c>
      <c r="F7" s="6" t="s">
        <v>13</v>
      </c>
      <c r="G7" s="9">
        <v>0.12195121951219512</v>
      </c>
    </row>
    <row r="8" spans="1:7">
      <c r="A8" s="6" t="s">
        <v>14</v>
      </c>
      <c r="B8" s="8">
        <v>396</v>
      </c>
      <c r="C8" s="8">
        <v>3256</v>
      </c>
      <c r="D8" s="9">
        <f t="shared" si="0"/>
        <v>0.12162162162162163</v>
      </c>
      <c r="F8" s="6" t="s">
        <v>14</v>
      </c>
      <c r="G8" s="9">
        <v>0.12162162162162163</v>
      </c>
    </row>
    <row r="9" spans="1:7">
      <c r="A9" s="6" t="s">
        <v>11</v>
      </c>
      <c r="B9" s="8">
        <v>176</v>
      </c>
      <c r="C9" s="8">
        <v>1279</v>
      </c>
      <c r="D9" s="9">
        <f t="shared" si="0"/>
        <v>0.1376075058639562</v>
      </c>
      <c r="F9" s="6" t="s">
        <v>15</v>
      </c>
      <c r="G9" s="9">
        <v>0.12105263157894737</v>
      </c>
    </row>
    <row r="10" spans="1:7">
      <c r="A10" s="6" t="s">
        <v>16</v>
      </c>
      <c r="B10" s="8">
        <v>118</v>
      </c>
      <c r="C10" s="8">
        <v>2080</v>
      </c>
      <c r="D10" s="9">
        <f t="shared" si="0"/>
        <v>5.673076923076923E-2</v>
      </c>
      <c r="F10" s="6" t="s">
        <v>17</v>
      </c>
      <c r="G10" s="9">
        <v>0.11205073995771671</v>
      </c>
    </row>
    <row r="11" spans="1:7">
      <c r="A11" s="6" t="s">
        <v>18</v>
      </c>
      <c r="B11" s="8">
        <v>214</v>
      </c>
      <c r="C11" s="8">
        <v>1995</v>
      </c>
      <c r="D11" s="9">
        <f t="shared" si="0"/>
        <v>0.10726817042606517</v>
      </c>
      <c r="F11" s="6" t="s">
        <v>18</v>
      </c>
      <c r="G11" s="9">
        <v>0.10726817042606517</v>
      </c>
    </row>
    <row r="12" spans="1:7">
      <c r="A12" s="6" t="s">
        <v>19</v>
      </c>
      <c r="B12" s="8">
        <v>128</v>
      </c>
      <c r="C12" s="8">
        <v>1957</v>
      </c>
      <c r="D12" s="9">
        <f t="shared" si="0"/>
        <v>6.5406234031681151E-2</v>
      </c>
      <c r="F12" s="6" t="s">
        <v>20</v>
      </c>
      <c r="G12" s="9">
        <v>0.10444874274661509</v>
      </c>
    </row>
    <row r="13" spans="1:7">
      <c r="A13" s="6" t="s">
        <v>6</v>
      </c>
      <c r="B13" s="8">
        <v>125</v>
      </c>
      <c r="C13" s="8">
        <v>717</v>
      </c>
      <c r="D13" s="9">
        <f t="shared" si="0"/>
        <v>0.17433751743375175</v>
      </c>
      <c r="F13" s="6" t="s">
        <v>21</v>
      </c>
      <c r="G13" s="9">
        <v>9.8540145985401464E-2</v>
      </c>
    </row>
    <row r="14" spans="1:7">
      <c r="A14" s="6" t="s">
        <v>22</v>
      </c>
      <c r="B14" s="8">
        <v>519</v>
      </c>
      <c r="C14" s="8">
        <v>11354</v>
      </c>
      <c r="D14" s="9">
        <f t="shared" si="0"/>
        <v>4.5710762726792323E-2</v>
      </c>
      <c r="F14" s="6" t="s">
        <v>23</v>
      </c>
      <c r="G14" s="9">
        <v>9.700427960057062E-2</v>
      </c>
    </row>
    <row r="15" spans="1:7">
      <c r="A15" s="6" t="s">
        <v>23</v>
      </c>
      <c r="B15" s="8">
        <v>68</v>
      </c>
      <c r="C15" s="8">
        <v>701</v>
      </c>
      <c r="D15" s="9">
        <f t="shared" si="0"/>
        <v>9.700427960057062E-2</v>
      </c>
      <c r="F15" s="6" t="s">
        <v>24</v>
      </c>
      <c r="G15" s="9">
        <v>9.6045197740112997E-2</v>
      </c>
    </row>
    <row r="16" spans="1:7">
      <c r="A16" s="6" t="s">
        <v>25</v>
      </c>
      <c r="B16" s="8">
        <v>53</v>
      </c>
      <c r="C16" s="8">
        <v>886</v>
      </c>
      <c r="D16" s="9">
        <f t="shared" si="0"/>
        <v>5.9819413092550788E-2</v>
      </c>
      <c r="F16" s="6" t="s">
        <v>26</v>
      </c>
      <c r="G16" s="9">
        <v>9.2827004219409287E-2</v>
      </c>
    </row>
    <row r="17" spans="1:7">
      <c r="A17" s="6" t="s">
        <v>17</v>
      </c>
      <c r="B17" s="8">
        <v>106</v>
      </c>
      <c r="C17" s="8">
        <v>946</v>
      </c>
      <c r="D17" s="9">
        <f t="shared" si="0"/>
        <v>0.11205073995771671</v>
      </c>
      <c r="F17" s="6" t="s">
        <v>27</v>
      </c>
      <c r="G17" s="9">
        <v>8.2064297800338415E-2</v>
      </c>
    </row>
    <row r="18" spans="1:7">
      <c r="A18" s="6" t="s">
        <v>20</v>
      </c>
      <c r="B18" s="8">
        <v>54</v>
      </c>
      <c r="C18" s="8">
        <v>517</v>
      </c>
      <c r="D18" s="9">
        <f t="shared" si="0"/>
        <v>0.10444874274661509</v>
      </c>
      <c r="F18" s="6" t="s">
        <v>19</v>
      </c>
      <c r="G18" s="9">
        <v>6.5406234031681151E-2</v>
      </c>
    </row>
    <row r="19" spans="1:7">
      <c r="A19" s="6" t="s">
        <v>24</v>
      </c>
      <c r="B19" s="8">
        <v>153</v>
      </c>
      <c r="C19" s="8">
        <v>1593</v>
      </c>
      <c r="D19" s="9">
        <f t="shared" si="0"/>
        <v>9.6045197740112997E-2</v>
      </c>
      <c r="F19" s="6" t="s">
        <v>28</v>
      </c>
      <c r="G19" s="9">
        <v>6.0815868263473051E-2</v>
      </c>
    </row>
    <row r="20" spans="1:7">
      <c r="A20" s="6" t="s">
        <v>9</v>
      </c>
      <c r="B20" s="8">
        <v>66</v>
      </c>
      <c r="C20" s="8">
        <v>476</v>
      </c>
      <c r="D20" s="9">
        <f t="shared" si="0"/>
        <v>0.13865546218487396</v>
      </c>
      <c r="F20" s="6" t="s">
        <v>25</v>
      </c>
      <c r="G20" s="9">
        <v>5.9819413092550788E-2</v>
      </c>
    </row>
    <row r="21" spans="1:7">
      <c r="A21" s="6" t="s">
        <v>29</v>
      </c>
      <c r="B21" s="8">
        <v>199</v>
      </c>
      <c r="C21" s="8">
        <v>4923</v>
      </c>
      <c r="D21" s="9">
        <f t="shared" si="0"/>
        <v>4.0422506601665652E-2</v>
      </c>
      <c r="F21" s="6" t="s">
        <v>16</v>
      </c>
      <c r="G21" s="9">
        <v>5.673076923076923E-2</v>
      </c>
    </row>
    <row r="22" spans="1:7">
      <c r="A22" s="6" t="s">
        <v>15</v>
      </c>
      <c r="B22" s="8">
        <v>1495</v>
      </c>
      <c r="C22" s="8">
        <v>12350</v>
      </c>
      <c r="D22" s="9">
        <f t="shared" si="0"/>
        <v>0.12105263157894737</v>
      </c>
      <c r="F22" s="6" t="s">
        <v>22</v>
      </c>
      <c r="G22" s="9">
        <v>4.5710762726792323E-2</v>
      </c>
    </row>
    <row r="23" spans="1:7">
      <c r="A23" s="6" t="s">
        <v>26</v>
      </c>
      <c r="B23" s="8">
        <v>44</v>
      </c>
      <c r="C23" s="8">
        <v>474</v>
      </c>
      <c r="D23" s="9">
        <f t="shared" si="0"/>
        <v>9.2827004219409287E-2</v>
      </c>
      <c r="F23" s="6" t="s">
        <v>30</v>
      </c>
      <c r="G23" s="9">
        <v>4.4944930113103174E-2</v>
      </c>
    </row>
    <row r="24" spans="1:7">
      <c r="A24" s="6" t="s">
        <v>31</v>
      </c>
      <c r="B24" s="8">
        <v>7</v>
      </c>
      <c r="C24" s="8">
        <v>243</v>
      </c>
      <c r="D24" s="9">
        <f t="shared" si="0"/>
        <v>2.8806584362139918E-2</v>
      </c>
      <c r="F24" s="6" t="s">
        <v>29</v>
      </c>
      <c r="G24" s="9">
        <v>4.0422506601665652E-2</v>
      </c>
    </row>
    <row r="25" spans="1:7">
      <c r="A25" s="6" t="s">
        <v>13</v>
      </c>
      <c r="B25" s="8">
        <v>5</v>
      </c>
      <c r="C25" s="8">
        <v>41</v>
      </c>
      <c r="D25" s="9">
        <f t="shared" si="0"/>
        <v>0.12195121951219512</v>
      </c>
      <c r="F25" s="6" t="s">
        <v>7</v>
      </c>
      <c r="G25" s="9">
        <v>3.7499999999999999E-2</v>
      </c>
    </row>
    <row r="26" spans="1:7">
      <c r="A26" s="6" t="s">
        <v>28</v>
      </c>
      <c r="B26" s="8">
        <v>325</v>
      </c>
      <c r="C26" s="8">
        <v>5344</v>
      </c>
      <c r="D26" s="9">
        <f t="shared" si="0"/>
        <v>6.0815868263473051E-2</v>
      </c>
      <c r="F26" s="6" t="s">
        <v>12</v>
      </c>
      <c r="G26" s="9">
        <v>2.9850746268656716E-2</v>
      </c>
    </row>
    <row r="27" spans="1:7">
      <c r="A27" s="6" t="s">
        <v>27</v>
      </c>
      <c r="B27" s="8">
        <v>291</v>
      </c>
      <c r="C27" s="8">
        <v>3546</v>
      </c>
      <c r="D27" s="9">
        <f t="shared" si="0"/>
        <v>8.2064297800338415E-2</v>
      </c>
      <c r="F27" s="6" t="s">
        <v>31</v>
      </c>
      <c r="G27" s="9">
        <v>2.8806584362139918E-2</v>
      </c>
    </row>
    <row r="28" spans="1:7">
      <c r="A28" s="6" t="s">
        <v>8</v>
      </c>
      <c r="B28" s="8">
        <v>51</v>
      </c>
      <c r="C28" s="8">
        <v>335</v>
      </c>
      <c r="D28" s="9">
        <f t="shared" si="0"/>
        <v>0.15223880597014924</v>
      </c>
      <c r="F28" s="6" t="s">
        <v>10</v>
      </c>
      <c r="G28" s="9">
        <v>2.7586206896551724E-2</v>
      </c>
    </row>
    <row r="29" spans="1:7">
      <c r="A29" s="6" t="s">
        <v>30</v>
      </c>
      <c r="B29" s="8">
        <v>1820</v>
      </c>
      <c r="C29" s="8">
        <v>40494</v>
      </c>
      <c r="D29" s="9">
        <f t="shared" si="0"/>
        <v>4.4944930113103174E-2</v>
      </c>
    </row>
    <row r="30" spans="1:7">
      <c r="A30" s="6" t="s">
        <v>21</v>
      </c>
      <c r="B30" s="8">
        <v>27</v>
      </c>
      <c r="C30" s="8">
        <v>274</v>
      </c>
      <c r="D30" s="10">
        <f t="shared" si="0"/>
        <v>9.8540145985401464E-2</v>
      </c>
    </row>
    <row r="31" spans="1:7">
      <c r="A31" s="6" t="s">
        <v>32</v>
      </c>
      <c r="B31" s="8">
        <v>6534</v>
      </c>
      <c r="C31" s="11">
        <v>96470</v>
      </c>
      <c r="D31" s="12">
        <f>B31/C31</f>
        <v>6.7730900798175592E-2</v>
      </c>
    </row>
    <row r="32" spans="1:7">
      <c r="D32" s="3"/>
    </row>
  </sheetData>
  <sortState xmlns:xlrd2="http://schemas.microsoft.com/office/spreadsheetml/2017/richdata2" ref="F2:G28">
    <sortCondition descending="1" ref="G2:G28"/>
  </sortState>
  <conditionalFormatting sqref="D4:D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7"/>
  <sheetViews>
    <sheetView workbookViewId="0">
      <selection activeCell="L12" sqref="L12"/>
    </sheetView>
  </sheetViews>
  <sheetFormatPr defaultRowHeight="15"/>
  <cols>
    <col min="1" max="1" width="15.140625" bestFit="1" customWidth="1"/>
    <col min="2" max="2" width="12.7109375" bestFit="1" customWidth="1"/>
    <col min="3" max="4" width="18.28515625" bestFit="1" customWidth="1"/>
    <col min="5" max="5" width="15.7109375" bestFit="1" customWidth="1"/>
  </cols>
  <sheetData>
    <row r="1" spans="1:5">
      <c r="A1" s="1" t="s">
        <v>3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7</v>
      </c>
      <c r="B2" t="s">
        <v>37</v>
      </c>
      <c r="C2">
        <v>2</v>
      </c>
      <c r="D2">
        <v>0</v>
      </c>
      <c r="E2">
        <v>0</v>
      </c>
    </row>
    <row r="3" spans="1:5">
      <c r="A3" t="s">
        <v>7</v>
      </c>
      <c r="B3" t="s">
        <v>38</v>
      </c>
      <c r="C3">
        <v>3</v>
      </c>
      <c r="D3">
        <v>0</v>
      </c>
      <c r="E3">
        <v>0</v>
      </c>
    </row>
    <row r="4" spans="1:5">
      <c r="A4" t="s">
        <v>7</v>
      </c>
      <c r="B4" t="s">
        <v>39</v>
      </c>
      <c r="C4">
        <v>2</v>
      </c>
      <c r="D4">
        <v>0</v>
      </c>
      <c r="E4">
        <v>0</v>
      </c>
    </row>
    <row r="5" spans="1:5">
      <c r="A5" t="s">
        <v>7</v>
      </c>
      <c r="B5" t="s">
        <v>40</v>
      </c>
      <c r="C5">
        <v>5</v>
      </c>
      <c r="D5">
        <v>0</v>
      </c>
      <c r="E5">
        <v>0</v>
      </c>
    </row>
    <row r="6" spans="1:5">
      <c r="A6" t="s">
        <v>7</v>
      </c>
      <c r="B6" t="s">
        <v>41</v>
      </c>
      <c r="C6">
        <v>8</v>
      </c>
      <c r="D6">
        <v>0</v>
      </c>
      <c r="E6">
        <v>0</v>
      </c>
    </row>
    <row r="7" spans="1:5">
      <c r="A7" t="s">
        <v>7</v>
      </c>
      <c r="B7" t="s">
        <v>42</v>
      </c>
      <c r="C7">
        <v>4</v>
      </c>
      <c r="D7">
        <v>0</v>
      </c>
      <c r="E7">
        <v>0</v>
      </c>
    </row>
    <row r="8" spans="1:5">
      <c r="A8" t="s">
        <v>7</v>
      </c>
      <c r="B8" t="s">
        <v>43</v>
      </c>
      <c r="C8">
        <v>5</v>
      </c>
      <c r="D8">
        <v>0</v>
      </c>
      <c r="E8">
        <v>0</v>
      </c>
    </row>
    <row r="9" spans="1:5">
      <c r="A9" t="s">
        <v>7</v>
      </c>
      <c r="B9" t="s">
        <v>44</v>
      </c>
      <c r="C9">
        <v>4</v>
      </c>
      <c r="D9">
        <v>0</v>
      </c>
      <c r="E9">
        <v>0</v>
      </c>
    </row>
    <row r="10" spans="1:5">
      <c r="A10" t="s">
        <v>7</v>
      </c>
      <c r="B10" t="s">
        <v>45</v>
      </c>
      <c r="C10">
        <v>5</v>
      </c>
      <c r="D10">
        <v>1</v>
      </c>
      <c r="E10">
        <v>20</v>
      </c>
    </row>
    <row r="11" spans="1:5">
      <c r="A11" t="s">
        <v>7</v>
      </c>
      <c r="B11" t="s">
        <v>46</v>
      </c>
      <c r="C11">
        <v>5</v>
      </c>
      <c r="D11">
        <v>0</v>
      </c>
      <c r="E11">
        <v>0</v>
      </c>
    </row>
    <row r="12" spans="1:5">
      <c r="A12" t="s">
        <v>7</v>
      </c>
      <c r="B12" t="s">
        <v>47</v>
      </c>
      <c r="C12">
        <v>5</v>
      </c>
      <c r="D12">
        <v>1</v>
      </c>
      <c r="E12">
        <v>20</v>
      </c>
    </row>
    <row r="13" spans="1:5">
      <c r="A13" t="s">
        <v>7</v>
      </c>
      <c r="B13" t="s">
        <v>48</v>
      </c>
      <c r="C13">
        <v>5</v>
      </c>
      <c r="D13">
        <v>0</v>
      </c>
      <c r="E13">
        <v>0</v>
      </c>
    </row>
    <row r="14" spans="1:5">
      <c r="A14" t="s">
        <v>7</v>
      </c>
      <c r="B14" t="s">
        <v>49</v>
      </c>
      <c r="C14">
        <v>6</v>
      </c>
      <c r="D14">
        <v>0</v>
      </c>
      <c r="E14">
        <v>0</v>
      </c>
    </row>
    <row r="15" spans="1:5">
      <c r="A15" t="s">
        <v>7</v>
      </c>
      <c r="B15" t="s">
        <v>50</v>
      </c>
      <c r="C15">
        <v>3</v>
      </c>
      <c r="D15">
        <v>0</v>
      </c>
      <c r="E15">
        <v>0</v>
      </c>
    </row>
    <row r="16" spans="1:5">
      <c r="A16" t="s">
        <v>7</v>
      </c>
      <c r="B16" t="s">
        <v>51</v>
      </c>
      <c r="C16">
        <v>2</v>
      </c>
      <c r="D16">
        <v>0</v>
      </c>
      <c r="E16">
        <v>0</v>
      </c>
    </row>
    <row r="17" spans="1:5">
      <c r="A17" t="s">
        <v>7</v>
      </c>
      <c r="B17" t="s">
        <v>52</v>
      </c>
      <c r="C17">
        <v>4</v>
      </c>
      <c r="D17">
        <v>1</v>
      </c>
      <c r="E17">
        <v>25</v>
      </c>
    </row>
    <row r="18" spans="1:5">
      <c r="A18" t="s">
        <v>7</v>
      </c>
      <c r="B18" t="s">
        <v>53</v>
      </c>
      <c r="C18">
        <v>2</v>
      </c>
      <c r="D18">
        <v>0</v>
      </c>
      <c r="E18">
        <v>0</v>
      </c>
    </row>
    <row r="19" spans="1:5">
      <c r="A19" t="s">
        <v>7</v>
      </c>
      <c r="B19" t="s">
        <v>54</v>
      </c>
      <c r="C19">
        <v>3</v>
      </c>
      <c r="D19">
        <v>0</v>
      </c>
      <c r="E19">
        <v>0</v>
      </c>
    </row>
    <row r="20" spans="1:5">
      <c r="A20" t="s">
        <v>7</v>
      </c>
      <c r="B20" t="s">
        <v>55</v>
      </c>
      <c r="C20">
        <v>4</v>
      </c>
      <c r="D20">
        <v>0</v>
      </c>
      <c r="E20">
        <v>0</v>
      </c>
    </row>
    <row r="21" spans="1:5">
      <c r="A21" t="s">
        <v>7</v>
      </c>
      <c r="B21" t="s">
        <v>56</v>
      </c>
      <c r="C21">
        <v>3</v>
      </c>
      <c r="D21">
        <v>0</v>
      </c>
      <c r="E21">
        <v>0</v>
      </c>
    </row>
    <row r="22" spans="1:5">
      <c r="A22" t="s">
        <v>2</v>
      </c>
      <c r="B22" t="s">
        <v>57</v>
      </c>
      <c r="C22">
        <v>1</v>
      </c>
      <c r="D22">
        <v>0</v>
      </c>
      <c r="E22">
        <v>0</v>
      </c>
    </row>
    <row r="23" spans="1:5">
      <c r="A23" t="s">
        <v>2</v>
      </c>
      <c r="B23" t="s">
        <v>37</v>
      </c>
      <c r="C23">
        <v>2</v>
      </c>
      <c r="D23">
        <v>0</v>
      </c>
      <c r="E23">
        <v>0</v>
      </c>
    </row>
    <row r="24" spans="1:5">
      <c r="A24" t="s">
        <v>2</v>
      </c>
      <c r="B24" t="s">
        <v>38</v>
      </c>
      <c r="C24">
        <v>12</v>
      </c>
      <c r="D24">
        <v>1</v>
      </c>
      <c r="E24">
        <v>8.3333333333333321</v>
      </c>
    </row>
    <row r="25" spans="1:5">
      <c r="A25" t="s">
        <v>2</v>
      </c>
      <c r="B25" t="s">
        <v>39</v>
      </c>
      <c r="C25">
        <v>10</v>
      </c>
      <c r="D25">
        <v>2</v>
      </c>
      <c r="E25">
        <v>20</v>
      </c>
    </row>
    <row r="26" spans="1:5">
      <c r="A26" t="s">
        <v>2</v>
      </c>
      <c r="B26" t="s">
        <v>40</v>
      </c>
      <c r="C26">
        <v>21</v>
      </c>
      <c r="D26">
        <v>8</v>
      </c>
      <c r="E26">
        <v>38.095238095238088</v>
      </c>
    </row>
    <row r="27" spans="1:5">
      <c r="A27" t="s">
        <v>2</v>
      </c>
      <c r="B27" t="s">
        <v>41</v>
      </c>
      <c r="C27">
        <v>26</v>
      </c>
      <c r="D27">
        <v>2</v>
      </c>
      <c r="E27">
        <v>7.6923076923076934</v>
      </c>
    </row>
    <row r="28" spans="1:5">
      <c r="A28" t="s">
        <v>2</v>
      </c>
      <c r="B28" t="s">
        <v>42</v>
      </c>
      <c r="C28">
        <v>10</v>
      </c>
      <c r="D28">
        <v>3</v>
      </c>
      <c r="E28">
        <v>30</v>
      </c>
    </row>
    <row r="29" spans="1:5">
      <c r="A29" t="s">
        <v>2</v>
      </c>
      <c r="B29" t="s">
        <v>43</v>
      </c>
      <c r="C29">
        <v>15</v>
      </c>
      <c r="D29">
        <v>7</v>
      </c>
      <c r="E29">
        <v>46.666666666666657</v>
      </c>
    </row>
    <row r="30" spans="1:5">
      <c r="A30" t="s">
        <v>2</v>
      </c>
      <c r="B30" t="s">
        <v>44</v>
      </c>
      <c r="C30">
        <v>17</v>
      </c>
      <c r="D30">
        <v>3</v>
      </c>
      <c r="E30">
        <v>17.647058823529409</v>
      </c>
    </row>
    <row r="31" spans="1:5">
      <c r="A31" t="s">
        <v>2</v>
      </c>
      <c r="B31" t="s">
        <v>45</v>
      </c>
      <c r="C31">
        <v>19</v>
      </c>
      <c r="D31">
        <v>8</v>
      </c>
      <c r="E31">
        <v>42.105263157894733</v>
      </c>
    </row>
    <row r="32" spans="1:5">
      <c r="A32" t="s">
        <v>2</v>
      </c>
      <c r="B32" t="s">
        <v>46</v>
      </c>
      <c r="C32">
        <v>28</v>
      </c>
      <c r="D32">
        <v>2</v>
      </c>
      <c r="E32">
        <v>7.1428571428571423</v>
      </c>
    </row>
    <row r="33" spans="1:5">
      <c r="A33" t="s">
        <v>2</v>
      </c>
      <c r="B33" t="s">
        <v>47</v>
      </c>
      <c r="C33">
        <v>26</v>
      </c>
      <c r="D33">
        <v>5</v>
      </c>
      <c r="E33">
        <v>19.230769230769241</v>
      </c>
    </row>
    <row r="34" spans="1:5">
      <c r="A34" t="s">
        <v>2</v>
      </c>
      <c r="B34" t="s">
        <v>48</v>
      </c>
      <c r="C34">
        <v>12</v>
      </c>
      <c r="D34">
        <v>0</v>
      </c>
      <c r="E34">
        <v>0</v>
      </c>
    </row>
    <row r="35" spans="1:5">
      <c r="A35" t="s">
        <v>2</v>
      </c>
      <c r="B35" t="s">
        <v>49</v>
      </c>
      <c r="C35">
        <v>36</v>
      </c>
      <c r="D35">
        <v>12</v>
      </c>
      <c r="E35">
        <v>33.333333333333329</v>
      </c>
    </row>
    <row r="36" spans="1:5">
      <c r="A36" t="s">
        <v>2</v>
      </c>
      <c r="B36" t="s">
        <v>50</v>
      </c>
      <c r="C36">
        <v>27</v>
      </c>
      <c r="D36">
        <v>10</v>
      </c>
      <c r="E36">
        <v>37.037037037037038</v>
      </c>
    </row>
    <row r="37" spans="1:5">
      <c r="A37" t="s">
        <v>2</v>
      </c>
      <c r="B37" t="s">
        <v>51</v>
      </c>
      <c r="C37">
        <v>27</v>
      </c>
      <c r="D37">
        <v>9</v>
      </c>
      <c r="E37">
        <v>33.333333333333329</v>
      </c>
    </row>
    <row r="38" spans="1:5">
      <c r="A38" t="s">
        <v>2</v>
      </c>
      <c r="B38" t="s">
        <v>52</v>
      </c>
      <c r="C38">
        <v>27</v>
      </c>
      <c r="D38">
        <v>7</v>
      </c>
      <c r="E38">
        <v>25.92592592592592</v>
      </c>
    </row>
    <row r="39" spans="1:5">
      <c r="A39" t="s">
        <v>2</v>
      </c>
      <c r="B39" t="s">
        <v>53</v>
      </c>
      <c r="C39">
        <v>19</v>
      </c>
      <c r="D39">
        <v>2</v>
      </c>
      <c r="E39">
        <v>10.52631578947368</v>
      </c>
    </row>
    <row r="40" spans="1:5">
      <c r="A40" t="s">
        <v>2</v>
      </c>
      <c r="B40" t="s">
        <v>54</v>
      </c>
      <c r="C40">
        <v>24</v>
      </c>
      <c r="D40">
        <v>0</v>
      </c>
      <c r="E40">
        <v>0</v>
      </c>
    </row>
    <row r="41" spans="1:5">
      <c r="A41" t="s">
        <v>2</v>
      </c>
      <c r="B41" t="s">
        <v>55</v>
      </c>
      <c r="C41">
        <v>22</v>
      </c>
      <c r="D41">
        <v>4</v>
      </c>
      <c r="E41">
        <v>18.18181818181818</v>
      </c>
    </row>
    <row r="42" spans="1:5">
      <c r="A42" t="s">
        <v>2</v>
      </c>
      <c r="B42" t="s">
        <v>56</v>
      </c>
      <c r="C42">
        <v>16</v>
      </c>
      <c r="D42">
        <v>0</v>
      </c>
      <c r="E42">
        <v>0</v>
      </c>
    </row>
    <row r="43" spans="1:5">
      <c r="A43" t="s">
        <v>10</v>
      </c>
      <c r="B43" t="s">
        <v>38</v>
      </c>
      <c r="C43">
        <v>8</v>
      </c>
      <c r="D43">
        <v>0</v>
      </c>
      <c r="E43">
        <v>0</v>
      </c>
    </row>
    <row r="44" spans="1:5">
      <c r="A44" t="s">
        <v>10</v>
      </c>
      <c r="B44" t="s">
        <v>39</v>
      </c>
      <c r="C44">
        <v>5</v>
      </c>
      <c r="D44">
        <v>0</v>
      </c>
      <c r="E44">
        <v>0</v>
      </c>
    </row>
    <row r="45" spans="1:5">
      <c r="A45" t="s">
        <v>10</v>
      </c>
      <c r="B45" t="s">
        <v>40</v>
      </c>
      <c r="C45">
        <v>13</v>
      </c>
      <c r="D45">
        <v>0</v>
      </c>
      <c r="E45">
        <v>0</v>
      </c>
    </row>
    <row r="46" spans="1:5">
      <c r="A46" t="s">
        <v>10</v>
      </c>
      <c r="B46" t="s">
        <v>41</v>
      </c>
      <c r="C46">
        <v>8</v>
      </c>
      <c r="D46">
        <v>1</v>
      </c>
      <c r="E46">
        <v>12.5</v>
      </c>
    </row>
    <row r="47" spans="1:5">
      <c r="A47" t="s">
        <v>10</v>
      </c>
      <c r="B47" t="s">
        <v>42</v>
      </c>
      <c r="C47">
        <v>1</v>
      </c>
      <c r="D47">
        <v>0</v>
      </c>
      <c r="E47">
        <v>0</v>
      </c>
    </row>
    <row r="48" spans="1:5">
      <c r="A48" t="s">
        <v>10</v>
      </c>
      <c r="B48" t="s">
        <v>43</v>
      </c>
      <c r="C48">
        <v>5</v>
      </c>
      <c r="D48">
        <v>0</v>
      </c>
      <c r="E48">
        <v>0</v>
      </c>
    </row>
    <row r="49" spans="1:5">
      <c r="A49" t="s">
        <v>10</v>
      </c>
      <c r="B49" t="s">
        <v>44</v>
      </c>
      <c r="C49">
        <v>5</v>
      </c>
      <c r="D49">
        <v>0</v>
      </c>
      <c r="E49">
        <v>0</v>
      </c>
    </row>
    <row r="50" spans="1:5">
      <c r="A50" t="s">
        <v>10</v>
      </c>
      <c r="B50" t="s">
        <v>45</v>
      </c>
      <c r="C50">
        <v>9</v>
      </c>
      <c r="D50">
        <v>0</v>
      </c>
      <c r="E50">
        <v>0</v>
      </c>
    </row>
    <row r="51" spans="1:5">
      <c r="A51" t="s">
        <v>10</v>
      </c>
      <c r="B51" t="s">
        <v>46</v>
      </c>
      <c r="C51">
        <v>3</v>
      </c>
      <c r="D51">
        <v>0</v>
      </c>
      <c r="E51">
        <v>0</v>
      </c>
    </row>
    <row r="52" spans="1:5">
      <c r="A52" t="s">
        <v>10</v>
      </c>
      <c r="B52" t="s">
        <v>47</v>
      </c>
      <c r="C52">
        <v>10</v>
      </c>
      <c r="D52">
        <v>0</v>
      </c>
      <c r="E52">
        <v>0</v>
      </c>
    </row>
    <row r="53" spans="1:5">
      <c r="A53" t="s">
        <v>10</v>
      </c>
      <c r="B53" t="s">
        <v>48</v>
      </c>
      <c r="C53">
        <v>6</v>
      </c>
      <c r="D53">
        <v>0</v>
      </c>
      <c r="E53">
        <v>0</v>
      </c>
    </row>
    <row r="54" spans="1:5">
      <c r="A54" t="s">
        <v>10</v>
      </c>
      <c r="B54" t="s">
        <v>49</v>
      </c>
      <c r="C54">
        <v>12</v>
      </c>
      <c r="D54">
        <v>0</v>
      </c>
      <c r="E54">
        <v>0</v>
      </c>
    </row>
    <row r="55" spans="1:5">
      <c r="A55" t="s">
        <v>10</v>
      </c>
      <c r="B55" t="s">
        <v>50</v>
      </c>
      <c r="C55">
        <v>8</v>
      </c>
      <c r="D55">
        <v>1</v>
      </c>
      <c r="E55">
        <v>12.5</v>
      </c>
    </row>
    <row r="56" spans="1:5">
      <c r="A56" t="s">
        <v>10</v>
      </c>
      <c r="B56" t="s">
        <v>51</v>
      </c>
      <c r="C56">
        <v>8</v>
      </c>
      <c r="D56">
        <v>2</v>
      </c>
      <c r="E56">
        <v>25</v>
      </c>
    </row>
    <row r="57" spans="1:5">
      <c r="A57" t="s">
        <v>10</v>
      </c>
      <c r="B57" t="s">
        <v>52</v>
      </c>
      <c r="C57">
        <v>6</v>
      </c>
      <c r="D57">
        <v>0</v>
      </c>
      <c r="E57">
        <v>0</v>
      </c>
    </row>
    <row r="58" spans="1:5">
      <c r="A58" t="s">
        <v>10</v>
      </c>
      <c r="B58" t="s">
        <v>53</v>
      </c>
      <c r="C58">
        <v>9</v>
      </c>
      <c r="D58">
        <v>0</v>
      </c>
      <c r="E58">
        <v>0</v>
      </c>
    </row>
    <row r="59" spans="1:5">
      <c r="A59" t="s">
        <v>10</v>
      </c>
      <c r="B59" t="s">
        <v>54</v>
      </c>
      <c r="C59">
        <v>7</v>
      </c>
      <c r="D59">
        <v>0</v>
      </c>
      <c r="E59">
        <v>0</v>
      </c>
    </row>
    <row r="60" spans="1:5">
      <c r="A60" t="s">
        <v>10</v>
      </c>
      <c r="B60" t="s">
        <v>55</v>
      </c>
      <c r="C60">
        <v>18</v>
      </c>
      <c r="D60">
        <v>0</v>
      </c>
      <c r="E60">
        <v>0</v>
      </c>
    </row>
    <row r="61" spans="1:5">
      <c r="A61" t="s">
        <v>10</v>
      </c>
      <c r="B61" t="s">
        <v>56</v>
      </c>
      <c r="C61">
        <v>4</v>
      </c>
      <c r="D61">
        <v>0</v>
      </c>
      <c r="E61">
        <v>0</v>
      </c>
    </row>
    <row r="62" spans="1:5">
      <c r="A62" t="s">
        <v>12</v>
      </c>
      <c r="B62" t="s">
        <v>38</v>
      </c>
      <c r="C62">
        <v>2</v>
      </c>
      <c r="D62">
        <v>0</v>
      </c>
      <c r="E62">
        <v>0</v>
      </c>
    </row>
    <row r="63" spans="1:5">
      <c r="A63" t="s">
        <v>12</v>
      </c>
      <c r="B63" t="s">
        <v>39</v>
      </c>
      <c r="C63">
        <v>3</v>
      </c>
      <c r="D63">
        <v>2</v>
      </c>
      <c r="E63">
        <v>66.666666666666657</v>
      </c>
    </row>
    <row r="64" spans="1:5">
      <c r="A64" t="s">
        <v>12</v>
      </c>
      <c r="B64" t="s">
        <v>41</v>
      </c>
      <c r="C64">
        <v>4</v>
      </c>
      <c r="D64">
        <v>0</v>
      </c>
      <c r="E64">
        <v>0</v>
      </c>
    </row>
    <row r="65" spans="1:5">
      <c r="A65" t="s">
        <v>12</v>
      </c>
      <c r="B65" t="s">
        <v>42</v>
      </c>
      <c r="C65">
        <v>2</v>
      </c>
      <c r="D65">
        <v>0</v>
      </c>
      <c r="E65">
        <v>0</v>
      </c>
    </row>
    <row r="66" spans="1:5">
      <c r="A66" t="s">
        <v>12</v>
      </c>
      <c r="B66" t="s">
        <v>43</v>
      </c>
      <c r="C66">
        <v>1</v>
      </c>
      <c r="D66">
        <v>0</v>
      </c>
      <c r="E66">
        <v>0</v>
      </c>
    </row>
    <row r="67" spans="1:5">
      <c r="A67" t="s">
        <v>12</v>
      </c>
      <c r="B67" t="s">
        <v>44</v>
      </c>
      <c r="C67">
        <v>3</v>
      </c>
      <c r="D67">
        <v>0</v>
      </c>
      <c r="E67">
        <v>0</v>
      </c>
    </row>
    <row r="68" spans="1:5">
      <c r="A68" t="s">
        <v>12</v>
      </c>
      <c r="B68" t="s">
        <v>45</v>
      </c>
      <c r="C68">
        <v>2</v>
      </c>
      <c r="D68">
        <v>0</v>
      </c>
      <c r="E68">
        <v>0</v>
      </c>
    </row>
    <row r="69" spans="1:5">
      <c r="A69" t="s">
        <v>12</v>
      </c>
      <c r="B69" t="s">
        <v>46</v>
      </c>
      <c r="C69">
        <v>3</v>
      </c>
      <c r="D69">
        <v>0</v>
      </c>
      <c r="E69">
        <v>0</v>
      </c>
    </row>
    <row r="70" spans="1:5">
      <c r="A70" t="s">
        <v>12</v>
      </c>
      <c r="B70" t="s">
        <v>47</v>
      </c>
      <c r="C70">
        <v>4</v>
      </c>
      <c r="D70">
        <v>0</v>
      </c>
      <c r="E70">
        <v>0</v>
      </c>
    </row>
    <row r="71" spans="1:5">
      <c r="A71" t="s">
        <v>12</v>
      </c>
      <c r="B71" t="s">
        <v>48</v>
      </c>
      <c r="C71">
        <v>4</v>
      </c>
      <c r="D71">
        <v>0</v>
      </c>
      <c r="E71">
        <v>0</v>
      </c>
    </row>
    <row r="72" spans="1:5">
      <c r="A72" t="s">
        <v>12</v>
      </c>
      <c r="B72" t="s">
        <v>49</v>
      </c>
      <c r="C72">
        <v>11</v>
      </c>
      <c r="D72">
        <v>0</v>
      </c>
      <c r="E72">
        <v>0</v>
      </c>
    </row>
    <row r="73" spans="1:5">
      <c r="A73" t="s">
        <v>12</v>
      </c>
      <c r="B73" t="s">
        <v>50</v>
      </c>
      <c r="C73">
        <v>2</v>
      </c>
      <c r="D73">
        <v>0</v>
      </c>
      <c r="E73">
        <v>0</v>
      </c>
    </row>
    <row r="74" spans="1:5">
      <c r="A74" t="s">
        <v>12</v>
      </c>
      <c r="B74" t="s">
        <v>51</v>
      </c>
      <c r="C74">
        <v>5</v>
      </c>
      <c r="D74">
        <v>0</v>
      </c>
      <c r="E74">
        <v>0</v>
      </c>
    </row>
    <row r="75" spans="1:5">
      <c r="A75" t="s">
        <v>12</v>
      </c>
      <c r="B75" t="s">
        <v>52</v>
      </c>
      <c r="C75">
        <v>5</v>
      </c>
      <c r="D75">
        <v>0</v>
      </c>
      <c r="E75">
        <v>0</v>
      </c>
    </row>
    <row r="76" spans="1:5">
      <c r="A76" t="s">
        <v>12</v>
      </c>
      <c r="B76" t="s">
        <v>53</v>
      </c>
      <c r="C76">
        <v>6</v>
      </c>
      <c r="D76">
        <v>0</v>
      </c>
      <c r="E76">
        <v>0</v>
      </c>
    </row>
    <row r="77" spans="1:5">
      <c r="A77" t="s">
        <v>12</v>
      </c>
      <c r="B77" t="s">
        <v>54</v>
      </c>
      <c r="C77">
        <v>2</v>
      </c>
      <c r="D77">
        <v>0</v>
      </c>
      <c r="E77">
        <v>0</v>
      </c>
    </row>
    <row r="78" spans="1:5">
      <c r="A78" t="s">
        <v>12</v>
      </c>
      <c r="B78" t="s">
        <v>55</v>
      </c>
      <c r="C78">
        <v>6</v>
      </c>
      <c r="D78">
        <v>0</v>
      </c>
      <c r="E78">
        <v>0</v>
      </c>
    </row>
    <row r="79" spans="1:5">
      <c r="A79" t="s">
        <v>12</v>
      </c>
      <c r="B79" t="s">
        <v>56</v>
      </c>
      <c r="C79">
        <v>2</v>
      </c>
      <c r="D79">
        <v>0</v>
      </c>
      <c r="E79">
        <v>0</v>
      </c>
    </row>
    <row r="80" spans="1:5">
      <c r="A80" t="s">
        <v>14</v>
      </c>
      <c r="B80" t="s">
        <v>57</v>
      </c>
      <c r="C80">
        <v>3</v>
      </c>
      <c r="D80">
        <v>0</v>
      </c>
      <c r="E80">
        <v>0</v>
      </c>
    </row>
    <row r="81" spans="1:5">
      <c r="A81" t="s">
        <v>14</v>
      </c>
      <c r="B81" t="s">
        <v>37</v>
      </c>
      <c r="C81">
        <v>24</v>
      </c>
      <c r="D81">
        <v>1</v>
      </c>
      <c r="E81">
        <v>4.1666666666666661</v>
      </c>
    </row>
    <row r="82" spans="1:5">
      <c r="A82" t="s">
        <v>14</v>
      </c>
      <c r="B82" t="s">
        <v>38</v>
      </c>
      <c r="C82">
        <v>58</v>
      </c>
      <c r="D82">
        <v>5</v>
      </c>
      <c r="E82">
        <v>8.6206896551724146</v>
      </c>
    </row>
    <row r="83" spans="1:5">
      <c r="A83" t="s">
        <v>14</v>
      </c>
      <c r="B83" t="s">
        <v>39</v>
      </c>
      <c r="C83">
        <v>87</v>
      </c>
      <c r="D83">
        <v>7</v>
      </c>
      <c r="E83">
        <v>8.0459770114942533</v>
      </c>
    </row>
    <row r="84" spans="1:5">
      <c r="A84" t="s">
        <v>14</v>
      </c>
      <c r="B84" t="s">
        <v>40</v>
      </c>
      <c r="C84">
        <v>84</v>
      </c>
      <c r="D84">
        <v>12</v>
      </c>
      <c r="E84">
        <v>14.285714285714279</v>
      </c>
    </row>
    <row r="85" spans="1:5">
      <c r="A85" t="s">
        <v>14</v>
      </c>
      <c r="B85" t="s">
        <v>41</v>
      </c>
      <c r="C85">
        <v>119</v>
      </c>
      <c r="D85">
        <v>4</v>
      </c>
      <c r="E85">
        <v>3.3613445378151261</v>
      </c>
    </row>
    <row r="86" spans="1:5">
      <c r="A86" t="s">
        <v>14</v>
      </c>
      <c r="B86" t="s">
        <v>42</v>
      </c>
      <c r="C86">
        <v>103</v>
      </c>
      <c r="D86">
        <v>8</v>
      </c>
      <c r="E86">
        <v>7.7669902912621351</v>
      </c>
    </row>
    <row r="87" spans="1:5">
      <c r="A87" t="s">
        <v>14</v>
      </c>
      <c r="B87" t="s">
        <v>43</v>
      </c>
      <c r="C87">
        <v>144</v>
      </c>
      <c r="D87">
        <v>7</v>
      </c>
      <c r="E87">
        <v>4.8611111111111116</v>
      </c>
    </row>
    <row r="88" spans="1:5">
      <c r="A88" t="s">
        <v>14</v>
      </c>
      <c r="B88" t="s">
        <v>44</v>
      </c>
      <c r="C88">
        <v>152</v>
      </c>
      <c r="D88">
        <v>5</v>
      </c>
      <c r="E88">
        <v>3.2894736842105261</v>
      </c>
    </row>
    <row r="89" spans="1:5">
      <c r="A89" t="s">
        <v>14</v>
      </c>
      <c r="B89" t="s">
        <v>45</v>
      </c>
      <c r="C89">
        <v>167</v>
      </c>
      <c r="D89">
        <v>28</v>
      </c>
      <c r="E89">
        <v>16.766467065868259</v>
      </c>
    </row>
    <row r="90" spans="1:5">
      <c r="A90" t="s">
        <v>14</v>
      </c>
      <c r="B90" t="s">
        <v>46</v>
      </c>
      <c r="C90">
        <v>158</v>
      </c>
      <c r="D90">
        <v>16</v>
      </c>
      <c r="E90">
        <v>10.12658227848101</v>
      </c>
    </row>
    <row r="91" spans="1:5">
      <c r="A91" t="s">
        <v>14</v>
      </c>
      <c r="B91" t="s">
        <v>47</v>
      </c>
      <c r="C91">
        <v>243</v>
      </c>
      <c r="D91">
        <v>36</v>
      </c>
      <c r="E91">
        <v>14.81481481481481</v>
      </c>
    </row>
    <row r="92" spans="1:5">
      <c r="A92" t="s">
        <v>14</v>
      </c>
      <c r="B92" t="s">
        <v>48</v>
      </c>
      <c r="C92">
        <v>188</v>
      </c>
      <c r="D92">
        <v>24</v>
      </c>
      <c r="E92">
        <v>12.76595744680851</v>
      </c>
    </row>
    <row r="93" spans="1:5">
      <c r="A93" t="s">
        <v>14</v>
      </c>
      <c r="B93" t="s">
        <v>49</v>
      </c>
      <c r="C93">
        <v>228</v>
      </c>
      <c r="D93">
        <v>15</v>
      </c>
      <c r="E93">
        <v>6.5789473684210522</v>
      </c>
    </row>
    <row r="94" spans="1:5">
      <c r="A94" t="s">
        <v>14</v>
      </c>
      <c r="B94" t="s">
        <v>50</v>
      </c>
      <c r="C94">
        <v>208</v>
      </c>
      <c r="D94">
        <v>40</v>
      </c>
      <c r="E94">
        <v>19.230769230769241</v>
      </c>
    </row>
    <row r="95" spans="1:5">
      <c r="A95" t="s">
        <v>14</v>
      </c>
      <c r="B95" t="s">
        <v>51</v>
      </c>
      <c r="C95">
        <v>235</v>
      </c>
      <c r="D95">
        <v>74</v>
      </c>
      <c r="E95">
        <v>31.48936170212766</v>
      </c>
    </row>
    <row r="96" spans="1:5">
      <c r="A96" t="s">
        <v>14</v>
      </c>
      <c r="B96" t="s">
        <v>52</v>
      </c>
      <c r="C96">
        <v>216</v>
      </c>
      <c r="D96">
        <v>40</v>
      </c>
      <c r="E96">
        <v>18.518518518518519</v>
      </c>
    </row>
    <row r="97" spans="1:5">
      <c r="A97" t="s">
        <v>14</v>
      </c>
      <c r="B97" t="s">
        <v>53</v>
      </c>
      <c r="C97">
        <v>237</v>
      </c>
      <c r="D97">
        <v>47</v>
      </c>
      <c r="E97">
        <v>19.83122362869198</v>
      </c>
    </row>
    <row r="98" spans="1:5">
      <c r="A98" t="s">
        <v>14</v>
      </c>
      <c r="B98" t="s">
        <v>54</v>
      </c>
      <c r="C98">
        <v>198</v>
      </c>
      <c r="D98">
        <v>11</v>
      </c>
      <c r="E98">
        <v>5.5555555555555554</v>
      </c>
    </row>
    <row r="99" spans="1:5">
      <c r="A99" t="s">
        <v>14</v>
      </c>
      <c r="B99" t="s">
        <v>55</v>
      </c>
      <c r="C99">
        <v>245</v>
      </c>
      <c r="D99">
        <v>15</v>
      </c>
      <c r="E99">
        <v>6.1224489795918364</v>
      </c>
    </row>
    <row r="100" spans="1:5">
      <c r="A100" t="s">
        <v>14</v>
      </c>
      <c r="B100" t="s">
        <v>56</v>
      </c>
      <c r="C100">
        <v>159</v>
      </c>
      <c r="D100">
        <v>1</v>
      </c>
      <c r="E100">
        <v>0.62893081761006298</v>
      </c>
    </row>
    <row r="101" spans="1:5">
      <c r="A101" t="s">
        <v>11</v>
      </c>
      <c r="B101" t="s">
        <v>57</v>
      </c>
      <c r="C101">
        <v>6</v>
      </c>
      <c r="D101">
        <v>0</v>
      </c>
      <c r="E101">
        <v>0</v>
      </c>
    </row>
    <row r="102" spans="1:5">
      <c r="A102" t="s">
        <v>11</v>
      </c>
      <c r="B102" t="s">
        <v>37</v>
      </c>
      <c r="C102">
        <v>8</v>
      </c>
      <c r="D102">
        <v>1</v>
      </c>
      <c r="E102">
        <v>12.5</v>
      </c>
    </row>
    <row r="103" spans="1:5">
      <c r="A103" t="s">
        <v>11</v>
      </c>
      <c r="B103" t="s">
        <v>38</v>
      </c>
      <c r="C103">
        <v>13</v>
      </c>
      <c r="D103">
        <v>1</v>
      </c>
      <c r="E103">
        <v>7.6923076923076934</v>
      </c>
    </row>
    <row r="104" spans="1:5">
      <c r="A104" t="s">
        <v>11</v>
      </c>
      <c r="B104" t="s">
        <v>39</v>
      </c>
      <c r="C104">
        <v>26</v>
      </c>
      <c r="D104">
        <v>8</v>
      </c>
      <c r="E104">
        <v>30.76923076923077</v>
      </c>
    </row>
    <row r="105" spans="1:5">
      <c r="A105" t="s">
        <v>11</v>
      </c>
      <c r="B105" t="s">
        <v>40</v>
      </c>
      <c r="C105">
        <v>42</v>
      </c>
      <c r="D105">
        <v>5</v>
      </c>
      <c r="E105">
        <v>11.9047619047619</v>
      </c>
    </row>
    <row r="106" spans="1:5">
      <c r="A106" t="s">
        <v>11</v>
      </c>
      <c r="B106" t="s">
        <v>41</v>
      </c>
      <c r="C106">
        <v>62</v>
      </c>
      <c r="D106">
        <v>1</v>
      </c>
      <c r="E106">
        <v>1.612903225806452</v>
      </c>
    </row>
    <row r="107" spans="1:5">
      <c r="A107" t="s">
        <v>11</v>
      </c>
      <c r="B107" t="s">
        <v>42</v>
      </c>
      <c r="C107">
        <v>44</v>
      </c>
      <c r="D107">
        <v>0</v>
      </c>
      <c r="E107">
        <v>0</v>
      </c>
    </row>
    <row r="108" spans="1:5">
      <c r="A108" t="s">
        <v>11</v>
      </c>
      <c r="B108" t="s">
        <v>43</v>
      </c>
      <c r="C108">
        <v>53</v>
      </c>
      <c r="D108">
        <v>0</v>
      </c>
      <c r="E108">
        <v>0</v>
      </c>
    </row>
    <row r="109" spans="1:5">
      <c r="A109" t="s">
        <v>11</v>
      </c>
      <c r="B109" t="s">
        <v>44</v>
      </c>
      <c r="C109">
        <v>73</v>
      </c>
      <c r="D109">
        <v>1</v>
      </c>
      <c r="E109">
        <v>1.3698630136986301</v>
      </c>
    </row>
    <row r="110" spans="1:5">
      <c r="A110" t="s">
        <v>11</v>
      </c>
      <c r="B110" t="s">
        <v>45</v>
      </c>
      <c r="C110">
        <v>74</v>
      </c>
      <c r="D110">
        <v>2</v>
      </c>
      <c r="E110">
        <v>2.7027027027027022</v>
      </c>
    </row>
    <row r="111" spans="1:5">
      <c r="A111" t="s">
        <v>11</v>
      </c>
      <c r="B111" t="s">
        <v>46</v>
      </c>
      <c r="C111">
        <v>63</v>
      </c>
      <c r="D111">
        <v>3</v>
      </c>
      <c r="E111">
        <v>4.7619047619047619</v>
      </c>
    </row>
    <row r="112" spans="1:5">
      <c r="A112" t="s">
        <v>11</v>
      </c>
      <c r="B112" t="s">
        <v>47</v>
      </c>
      <c r="C112">
        <v>103</v>
      </c>
      <c r="D112">
        <v>27</v>
      </c>
      <c r="E112">
        <v>26.21359223300971</v>
      </c>
    </row>
    <row r="113" spans="1:5">
      <c r="A113" t="s">
        <v>11</v>
      </c>
      <c r="B113" t="s">
        <v>48</v>
      </c>
      <c r="C113">
        <v>79</v>
      </c>
      <c r="D113">
        <v>6</v>
      </c>
      <c r="E113">
        <v>7.59493670886076</v>
      </c>
    </row>
    <row r="114" spans="1:5">
      <c r="A114" t="s">
        <v>11</v>
      </c>
      <c r="B114" t="s">
        <v>49</v>
      </c>
      <c r="C114">
        <v>77</v>
      </c>
      <c r="D114">
        <v>9</v>
      </c>
      <c r="E114">
        <v>11.688311688311691</v>
      </c>
    </row>
    <row r="115" spans="1:5">
      <c r="A115" t="s">
        <v>11</v>
      </c>
      <c r="B115" t="s">
        <v>50</v>
      </c>
      <c r="C115">
        <v>84</v>
      </c>
      <c r="D115">
        <v>33</v>
      </c>
      <c r="E115">
        <v>39.285714285714278</v>
      </c>
    </row>
    <row r="116" spans="1:5">
      <c r="A116" t="s">
        <v>11</v>
      </c>
      <c r="B116" t="s">
        <v>51</v>
      </c>
      <c r="C116">
        <v>93</v>
      </c>
      <c r="D116">
        <v>47</v>
      </c>
      <c r="E116">
        <v>50.537634408602152</v>
      </c>
    </row>
    <row r="117" spans="1:5">
      <c r="A117" t="s">
        <v>11</v>
      </c>
      <c r="B117" t="s">
        <v>52</v>
      </c>
      <c r="C117">
        <v>96</v>
      </c>
      <c r="D117">
        <v>23</v>
      </c>
      <c r="E117">
        <v>23.958333333333339</v>
      </c>
    </row>
    <row r="118" spans="1:5">
      <c r="A118" t="s">
        <v>11</v>
      </c>
      <c r="B118" t="s">
        <v>53</v>
      </c>
      <c r="C118">
        <v>72</v>
      </c>
      <c r="D118">
        <v>8</v>
      </c>
      <c r="E118">
        <v>11.111111111111111</v>
      </c>
    </row>
    <row r="119" spans="1:5">
      <c r="A119" t="s">
        <v>11</v>
      </c>
      <c r="B119" t="s">
        <v>54</v>
      </c>
      <c r="C119">
        <v>72</v>
      </c>
      <c r="D119">
        <v>0</v>
      </c>
      <c r="E119">
        <v>0</v>
      </c>
    </row>
    <row r="120" spans="1:5">
      <c r="A120" t="s">
        <v>11</v>
      </c>
      <c r="B120" t="s">
        <v>55</v>
      </c>
      <c r="C120">
        <v>84</v>
      </c>
      <c r="D120">
        <v>1</v>
      </c>
      <c r="E120">
        <v>1.19047619047619</v>
      </c>
    </row>
    <row r="121" spans="1:5">
      <c r="A121" t="s">
        <v>11</v>
      </c>
      <c r="B121" t="s">
        <v>56</v>
      </c>
      <c r="C121">
        <v>55</v>
      </c>
      <c r="D121">
        <v>0</v>
      </c>
      <c r="E121">
        <v>0</v>
      </c>
    </row>
    <row r="122" spans="1:5">
      <c r="A122" t="s">
        <v>16</v>
      </c>
      <c r="B122" t="s">
        <v>57</v>
      </c>
      <c r="C122">
        <v>6</v>
      </c>
      <c r="D122">
        <v>0</v>
      </c>
      <c r="E122">
        <v>0</v>
      </c>
    </row>
    <row r="123" spans="1:5">
      <c r="A123" t="s">
        <v>16</v>
      </c>
      <c r="B123" t="s">
        <v>37</v>
      </c>
      <c r="C123">
        <v>13</v>
      </c>
      <c r="D123">
        <v>2</v>
      </c>
      <c r="E123">
        <v>15.38461538461538</v>
      </c>
    </row>
    <row r="124" spans="1:5">
      <c r="A124" t="s">
        <v>16</v>
      </c>
      <c r="B124" t="s">
        <v>38</v>
      </c>
      <c r="C124">
        <v>21</v>
      </c>
      <c r="D124">
        <v>0</v>
      </c>
      <c r="E124">
        <v>0</v>
      </c>
    </row>
    <row r="125" spans="1:5">
      <c r="A125" t="s">
        <v>16</v>
      </c>
      <c r="B125" t="s">
        <v>39</v>
      </c>
      <c r="C125">
        <v>54</v>
      </c>
      <c r="D125">
        <v>0</v>
      </c>
      <c r="E125">
        <v>0</v>
      </c>
    </row>
    <row r="126" spans="1:5">
      <c r="A126" t="s">
        <v>16</v>
      </c>
      <c r="B126" t="s">
        <v>40</v>
      </c>
      <c r="C126">
        <v>34</v>
      </c>
      <c r="D126">
        <v>0</v>
      </c>
      <c r="E126">
        <v>0</v>
      </c>
    </row>
    <row r="127" spans="1:5">
      <c r="A127" t="s">
        <v>16</v>
      </c>
      <c r="B127" t="s">
        <v>41</v>
      </c>
      <c r="C127">
        <v>60</v>
      </c>
      <c r="D127">
        <v>0</v>
      </c>
      <c r="E127">
        <v>0</v>
      </c>
    </row>
    <row r="128" spans="1:5">
      <c r="A128" t="s">
        <v>16</v>
      </c>
      <c r="B128" t="s">
        <v>42</v>
      </c>
      <c r="C128">
        <v>69</v>
      </c>
      <c r="D128">
        <v>1</v>
      </c>
      <c r="E128">
        <v>1.449275362318841</v>
      </c>
    </row>
    <row r="129" spans="1:5">
      <c r="A129" t="s">
        <v>16</v>
      </c>
      <c r="B129" t="s">
        <v>43</v>
      </c>
      <c r="C129">
        <v>75</v>
      </c>
      <c r="D129">
        <v>0</v>
      </c>
      <c r="E129">
        <v>0</v>
      </c>
    </row>
    <row r="130" spans="1:5">
      <c r="A130" t="s">
        <v>16</v>
      </c>
      <c r="B130" t="s">
        <v>44</v>
      </c>
      <c r="C130">
        <v>83</v>
      </c>
      <c r="D130">
        <v>1</v>
      </c>
      <c r="E130">
        <v>1.2048192771084341</v>
      </c>
    </row>
    <row r="131" spans="1:5">
      <c r="A131" t="s">
        <v>16</v>
      </c>
      <c r="B131" t="s">
        <v>45</v>
      </c>
      <c r="C131">
        <v>94</v>
      </c>
      <c r="D131">
        <v>7</v>
      </c>
      <c r="E131">
        <v>7.4468085106382977</v>
      </c>
    </row>
    <row r="132" spans="1:5">
      <c r="A132" t="s">
        <v>16</v>
      </c>
      <c r="B132" t="s">
        <v>46</v>
      </c>
      <c r="C132">
        <v>92</v>
      </c>
      <c r="D132">
        <v>3</v>
      </c>
      <c r="E132">
        <v>3.2608695652173911</v>
      </c>
    </row>
    <row r="133" spans="1:5">
      <c r="A133" t="s">
        <v>16</v>
      </c>
      <c r="B133" t="s">
        <v>47</v>
      </c>
      <c r="C133">
        <v>157</v>
      </c>
      <c r="D133">
        <v>18</v>
      </c>
      <c r="E133">
        <v>11.464968152866239</v>
      </c>
    </row>
    <row r="134" spans="1:5">
      <c r="A134" t="s">
        <v>16</v>
      </c>
      <c r="B134" t="s">
        <v>48</v>
      </c>
      <c r="C134">
        <v>129</v>
      </c>
      <c r="D134">
        <v>6</v>
      </c>
      <c r="E134">
        <v>4.6511627906976747</v>
      </c>
    </row>
    <row r="135" spans="1:5">
      <c r="A135" t="s">
        <v>16</v>
      </c>
      <c r="B135" t="s">
        <v>49</v>
      </c>
      <c r="C135">
        <v>135</v>
      </c>
      <c r="D135">
        <v>4</v>
      </c>
      <c r="E135">
        <v>2.9629629629629628</v>
      </c>
    </row>
    <row r="136" spans="1:5">
      <c r="A136" t="s">
        <v>16</v>
      </c>
      <c r="B136" t="s">
        <v>50</v>
      </c>
      <c r="C136">
        <v>170</v>
      </c>
      <c r="D136">
        <v>20</v>
      </c>
      <c r="E136">
        <v>11.76470588235294</v>
      </c>
    </row>
    <row r="137" spans="1:5">
      <c r="A137" t="s">
        <v>16</v>
      </c>
      <c r="B137" t="s">
        <v>51</v>
      </c>
      <c r="C137">
        <v>147</v>
      </c>
      <c r="D137">
        <v>27</v>
      </c>
      <c r="E137">
        <v>18.367346938775508</v>
      </c>
    </row>
    <row r="138" spans="1:5">
      <c r="A138" t="s">
        <v>16</v>
      </c>
      <c r="B138" t="s">
        <v>52</v>
      </c>
      <c r="C138">
        <v>146</v>
      </c>
      <c r="D138">
        <v>3</v>
      </c>
      <c r="E138">
        <v>2.054794520547945</v>
      </c>
    </row>
    <row r="139" spans="1:5">
      <c r="A139" t="s">
        <v>16</v>
      </c>
      <c r="B139" t="s">
        <v>53</v>
      </c>
      <c r="C139">
        <v>140</v>
      </c>
      <c r="D139">
        <v>13</v>
      </c>
      <c r="E139">
        <v>9.2857142857142865</v>
      </c>
    </row>
    <row r="140" spans="1:5">
      <c r="A140" t="s">
        <v>16</v>
      </c>
      <c r="B140" t="s">
        <v>54</v>
      </c>
      <c r="C140">
        <v>147</v>
      </c>
      <c r="D140">
        <v>1</v>
      </c>
      <c r="E140">
        <v>0.68027210884353739</v>
      </c>
    </row>
    <row r="141" spans="1:5">
      <c r="A141" t="s">
        <v>16</v>
      </c>
      <c r="B141" t="s">
        <v>55</v>
      </c>
      <c r="C141">
        <v>165</v>
      </c>
      <c r="D141">
        <v>7</v>
      </c>
      <c r="E141">
        <v>4.2424242424242431</v>
      </c>
    </row>
    <row r="142" spans="1:5">
      <c r="A142" t="s">
        <v>16</v>
      </c>
      <c r="B142" t="s">
        <v>56</v>
      </c>
      <c r="C142">
        <v>143</v>
      </c>
      <c r="D142">
        <v>5</v>
      </c>
      <c r="E142">
        <v>3.4965034965034971</v>
      </c>
    </row>
    <row r="143" spans="1:5">
      <c r="A143" t="s">
        <v>18</v>
      </c>
      <c r="B143" t="s">
        <v>57</v>
      </c>
      <c r="C143">
        <v>3</v>
      </c>
      <c r="D143">
        <v>0</v>
      </c>
      <c r="E143">
        <v>0</v>
      </c>
    </row>
    <row r="144" spans="1:5">
      <c r="A144" t="s">
        <v>18</v>
      </c>
      <c r="B144" t="s">
        <v>37</v>
      </c>
      <c r="C144">
        <v>9</v>
      </c>
      <c r="D144">
        <v>1</v>
      </c>
      <c r="E144">
        <v>11.111111111111111</v>
      </c>
    </row>
    <row r="145" spans="1:5">
      <c r="A145" t="s">
        <v>18</v>
      </c>
      <c r="B145" t="s">
        <v>38</v>
      </c>
      <c r="C145">
        <v>31</v>
      </c>
      <c r="D145">
        <v>2</v>
      </c>
      <c r="E145">
        <v>6.4516129032258061</v>
      </c>
    </row>
    <row r="146" spans="1:5">
      <c r="A146" t="s">
        <v>18</v>
      </c>
      <c r="B146" t="s">
        <v>39</v>
      </c>
      <c r="C146">
        <v>47</v>
      </c>
      <c r="D146">
        <v>0</v>
      </c>
      <c r="E146">
        <v>0</v>
      </c>
    </row>
    <row r="147" spans="1:5">
      <c r="A147" t="s">
        <v>18</v>
      </c>
      <c r="B147" t="s">
        <v>40</v>
      </c>
      <c r="C147">
        <v>45</v>
      </c>
      <c r="D147">
        <v>2</v>
      </c>
      <c r="E147">
        <v>4.4444444444444446</v>
      </c>
    </row>
    <row r="148" spans="1:5">
      <c r="A148" t="s">
        <v>18</v>
      </c>
      <c r="B148" t="s">
        <v>41</v>
      </c>
      <c r="C148">
        <v>90</v>
      </c>
      <c r="D148">
        <v>3</v>
      </c>
      <c r="E148">
        <v>3.333333333333333</v>
      </c>
    </row>
    <row r="149" spans="1:5">
      <c r="A149" t="s">
        <v>18</v>
      </c>
      <c r="B149" t="s">
        <v>42</v>
      </c>
      <c r="C149">
        <v>79</v>
      </c>
      <c r="D149">
        <v>5</v>
      </c>
      <c r="E149">
        <v>6.3291139240506329</v>
      </c>
    </row>
    <row r="150" spans="1:5">
      <c r="A150" t="s">
        <v>18</v>
      </c>
      <c r="B150" t="s">
        <v>43</v>
      </c>
      <c r="C150">
        <v>81</v>
      </c>
      <c r="D150">
        <v>3</v>
      </c>
      <c r="E150">
        <v>3.7037037037037028</v>
      </c>
    </row>
    <row r="151" spans="1:5">
      <c r="A151" t="s">
        <v>18</v>
      </c>
      <c r="B151" t="s">
        <v>44</v>
      </c>
      <c r="C151">
        <v>94</v>
      </c>
      <c r="D151">
        <v>4</v>
      </c>
      <c r="E151">
        <v>4.2553191489361701</v>
      </c>
    </row>
    <row r="152" spans="1:5">
      <c r="A152" t="s">
        <v>18</v>
      </c>
      <c r="B152" t="s">
        <v>45</v>
      </c>
      <c r="C152">
        <v>93</v>
      </c>
      <c r="D152">
        <v>4</v>
      </c>
      <c r="E152">
        <v>4.3010752688172049</v>
      </c>
    </row>
    <row r="153" spans="1:5">
      <c r="A153" t="s">
        <v>18</v>
      </c>
      <c r="B153" t="s">
        <v>46</v>
      </c>
      <c r="C153">
        <v>100</v>
      </c>
      <c r="D153">
        <v>5</v>
      </c>
      <c r="E153">
        <v>5</v>
      </c>
    </row>
    <row r="154" spans="1:5">
      <c r="A154" t="s">
        <v>18</v>
      </c>
      <c r="B154" t="s">
        <v>47</v>
      </c>
      <c r="C154">
        <v>168</v>
      </c>
      <c r="D154">
        <v>34</v>
      </c>
      <c r="E154">
        <v>20.238095238095241</v>
      </c>
    </row>
    <row r="155" spans="1:5">
      <c r="A155" t="s">
        <v>18</v>
      </c>
      <c r="B155" t="s">
        <v>48</v>
      </c>
      <c r="C155">
        <v>108</v>
      </c>
      <c r="D155">
        <v>7</v>
      </c>
      <c r="E155">
        <v>6.481481481481481</v>
      </c>
    </row>
    <row r="156" spans="1:5">
      <c r="A156" t="s">
        <v>18</v>
      </c>
      <c r="B156" t="s">
        <v>49</v>
      </c>
      <c r="C156">
        <v>145</v>
      </c>
      <c r="D156">
        <v>14</v>
      </c>
      <c r="E156">
        <v>9.6551724137931032</v>
      </c>
    </row>
    <row r="157" spans="1:5">
      <c r="A157" t="s">
        <v>18</v>
      </c>
      <c r="B157" t="s">
        <v>50</v>
      </c>
      <c r="C157">
        <v>149</v>
      </c>
      <c r="D157">
        <v>18</v>
      </c>
      <c r="E157">
        <v>12.080536912751681</v>
      </c>
    </row>
    <row r="158" spans="1:5">
      <c r="A158" t="s">
        <v>18</v>
      </c>
      <c r="B158" t="s">
        <v>51</v>
      </c>
      <c r="C158">
        <v>133</v>
      </c>
      <c r="D158">
        <v>55</v>
      </c>
      <c r="E158">
        <v>41.353383458646611</v>
      </c>
    </row>
    <row r="159" spans="1:5">
      <c r="A159" t="s">
        <v>18</v>
      </c>
      <c r="B159" t="s">
        <v>52</v>
      </c>
      <c r="C159">
        <v>140</v>
      </c>
      <c r="D159">
        <v>22</v>
      </c>
      <c r="E159">
        <v>15.71428571428571</v>
      </c>
    </row>
    <row r="160" spans="1:5">
      <c r="A160" t="s">
        <v>18</v>
      </c>
      <c r="B160" t="s">
        <v>53</v>
      </c>
      <c r="C160">
        <v>132</v>
      </c>
      <c r="D160">
        <v>21</v>
      </c>
      <c r="E160">
        <v>15.90909090909091</v>
      </c>
    </row>
    <row r="161" spans="1:5">
      <c r="A161" t="s">
        <v>18</v>
      </c>
      <c r="B161" t="s">
        <v>54</v>
      </c>
      <c r="C161">
        <v>123</v>
      </c>
      <c r="D161">
        <v>5</v>
      </c>
      <c r="E161">
        <v>4.0650406504065044</v>
      </c>
    </row>
    <row r="162" spans="1:5">
      <c r="A162" t="s">
        <v>18</v>
      </c>
      <c r="B162" t="s">
        <v>55</v>
      </c>
      <c r="C162">
        <v>122</v>
      </c>
      <c r="D162">
        <v>9</v>
      </c>
      <c r="E162">
        <v>7.3770491803278686</v>
      </c>
    </row>
    <row r="163" spans="1:5">
      <c r="A163" t="s">
        <v>18</v>
      </c>
      <c r="B163" t="s">
        <v>56</v>
      </c>
      <c r="C163">
        <v>103</v>
      </c>
      <c r="D163">
        <v>0</v>
      </c>
      <c r="E163">
        <v>0</v>
      </c>
    </row>
    <row r="164" spans="1:5">
      <c r="A164" t="s">
        <v>19</v>
      </c>
      <c r="B164" t="s">
        <v>57</v>
      </c>
      <c r="C164">
        <v>7</v>
      </c>
      <c r="D164">
        <v>0</v>
      </c>
      <c r="E164">
        <v>0</v>
      </c>
    </row>
    <row r="165" spans="1:5">
      <c r="A165" t="s">
        <v>19</v>
      </c>
      <c r="B165" t="s">
        <v>37</v>
      </c>
      <c r="C165">
        <v>18</v>
      </c>
      <c r="D165">
        <v>0</v>
      </c>
      <c r="E165">
        <v>0</v>
      </c>
    </row>
    <row r="166" spans="1:5">
      <c r="A166" t="s">
        <v>19</v>
      </c>
      <c r="B166" t="s">
        <v>38</v>
      </c>
      <c r="C166">
        <v>24</v>
      </c>
      <c r="D166">
        <v>1</v>
      </c>
      <c r="E166">
        <v>4.1666666666666661</v>
      </c>
    </row>
    <row r="167" spans="1:5">
      <c r="A167" t="s">
        <v>19</v>
      </c>
      <c r="B167" t="s">
        <v>39</v>
      </c>
      <c r="C167">
        <v>47</v>
      </c>
      <c r="D167">
        <v>0</v>
      </c>
      <c r="E167">
        <v>0</v>
      </c>
    </row>
    <row r="168" spans="1:5">
      <c r="A168" t="s">
        <v>19</v>
      </c>
      <c r="B168" t="s">
        <v>40</v>
      </c>
      <c r="C168">
        <v>38</v>
      </c>
      <c r="D168">
        <v>3</v>
      </c>
      <c r="E168">
        <v>7.8947368421052628</v>
      </c>
    </row>
    <row r="169" spans="1:5">
      <c r="A169" t="s">
        <v>19</v>
      </c>
      <c r="B169" t="s">
        <v>41</v>
      </c>
      <c r="C169">
        <v>83</v>
      </c>
      <c r="D169">
        <v>3</v>
      </c>
      <c r="E169">
        <v>3.6144578313253009</v>
      </c>
    </row>
    <row r="170" spans="1:5">
      <c r="A170" t="s">
        <v>19</v>
      </c>
      <c r="B170" t="s">
        <v>42</v>
      </c>
      <c r="C170">
        <v>73</v>
      </c>
      <c r="D170">
        <v>3</v>
      </c>
      <c r="E170">
        <v>4.10958904109589</v>
      </c>
    </row>
    <row r="171" spans="1:5">
      <c r="A171" t="s">
        <v>19</v>
      </c>
      <c r="B171" t="s">
        <v>43</v>
      </c>
      <c r="C171">
        <v>77</v>
      </c>
      <c r="D171">
        <v>3</v>
      </c>
      <c r="E171">
        <v>3.8961038961038961</v>
      </c>
    </row>
    <row r="172" spans="1:5">
      <c r="A172" t="s">
        <v>19</v>
      </c>
      <c r="B172" t="s">
        <v>44</v>
      </c>
      <c r="C172">
        <v>89</v>
      </c>
      <c r="D172">
        <v>2</v>
      </c>
      <c r="E172">
        <v>2.2471910112359552</v>
      </c>
    </row>
    <row r="173" spans="1:5">
      <c r="A173" t="s">
        <v>19</v>
      </c>
      <c r="B173" t="s">
        <v>45</v>
      </c>
      <c r="C173">
        <v>84</v>
      </c>
      <c r="D173">
        <v>2</v>
      </c>
      <c r="E173">
        <v>2.3809523809523809</v>
      </c>
    </row>
    <row r="174" spans="1:5">
      <c r="A174" t="s">
        <v>19</v>
      </c>
      <c r="B174" t="s">
        <v>46</v>
      </c>
      <c r="C174">
        <v>106</v>
      </c>
      <c r="D174">
        <v>2</v>
      </c>
      <c r="E174">
        <v>1.8867924528301889</v>
      </c>
    </row>
    <row r="175" spans="1:5">
      <c r="A175" t="s">
        <v>19</v>
      </c>
      <c r="B175" t="s">
        <v>47</v>
      </c>
      <c r="C175">
        <v>153</v>
      </c>
      <c r="D175">
        <v>20</v>
      </c>
      <c r="E175">
        <v>13.071895424836599</v>
      </c>
    </row>
    <row r="176" spans="1:5">
      <c r="A176" t="s">
        <v>19</v>
      </c>
      <c r="B176" t="s">
        <v>48</v>
      </c>
      <c r="C176">
        <v>125</v>
      </c>
      <c r="D176">
        <v>9</v>
      </c>
      <c r="E176">
        <v>7.1999999999999993</v>
      </c>
    </row>
    <row r="177" spans="1:5">
      <c r="A177" t="s">
        <v>19</v>
      </c>
      <c r="B177" t="s">
        <v>49</v>
      </c>
      <c r="C177">
        <v>144</v>
      </c>
      <c r="D177">
        <v>7</v>
      </c>
      <c r="E177">
        <v>4.8611111111111116</v>
      </c>
    </row>
    <row r="178" spans="1:5">
      <c r="A178" t="s">
        <v>19</v>
      </c>
      <c r="B178" t="s">
        <v>50</v>
      </c>
      <c r="C178">
        <v>146</v>
      </c>
      <c r="D178">
        <v>23</v>
      </c>
      <c r="E178">
        <v>15.75342465753425</v>
      </c>
    </row>
    <row r="179" spans="1:5">
      <c r="A179" t="s">
        <v>19</v>
      </c>
      <c r="B179" t="s">
        <v>51</v>
      </c>
      <c r="C179">
        <v>141</v>
      </c>
      <c r="D179">
        <v>28</v>
      </c>
      <c r="E179">
        <v>19.8581560283688</v>
      </c>
    </row>
    <row r="180" spans="1:5">
      <c r="A180" t="s">
        <v>19</v>
      </c>
      <c r="B180" t="s">
        <v>52</v>
      </c>
      <c r="C180">
        <v>132</v>
      </c>
      <c r="D180">
        <v>6</v>
      </c>
      <c r="E180">
        <v>4.5454545454545459</v>
      </c>
    </row>
    <row r="181" spans="1:5">
      <c r="A181" t="s">
        <v>19</v>
      </c>
      <c r="B181" t="s">
        <v>53</v>
      </c>
      <c r="C181">
        <v>136</v>
      </c>
      <c r="D181">
        <v>7</v>
      </c>
      <c r="E181">
        <v>5.1470588235294112</v>
      </c>
    </row>
    <row r="182" spans="1:5">
      <c r="A182" t="s">
        <v>19</v>
      </c>
      <c r="B182" t="s">
        <v>54</v>
      </c>
      <c r="C182">
        <v>105</v>
      </c>
      <c r="D182">
        <v>1</v>
      </c>
      <c r="E182">
        <v>0.95238095238095244</v>
      </c>
    </row>
    <row r="183" spans="1:5">
      <c r="A183" t="s">
        <v>19</v>
      </c>
      <c r="B183" t="s">
        <v>55</v>
      </c>
      <c r="C183">
        <v>112</v>
      </c>
      <c r="D183">
        <v>5</v>
      </c>
      <c r="E183">
        <v>4.4642857142857144</v>
      </c>
    </row>
    <row r="184" spans="1:5">
      <c r="A184" t="s">
        <v>19</v>
      </c>
      <c r="B184" t="s">
        <v>56</v>
      </c>
      <c r="C184">
        <v>117</v>
      </c>
      <c r="D184">
        <v>3</v>
      </c>
      <c r="E184">
        <v>2.5641025641025639</v>
      </c>
    </row>
    <row r="185" spans="1:5">
      <c r="A185" t="s">
        <v>6</v>
      </c>
      <c r="B185" t="s">
        <v>57</v>
      </c>
      <c r="C185">
        <v>4</v>
      </c>
      <c r="D185">
        <v>0</v>
      </c>
      <c r="E185">
        <v>0</v>
      </c>
    </row>
    <row r="186" spans="1:5">
      <c r="A186" t="s">
        <v>6</v>
      </c>
      <c r="B186" t="s">
        <v>37</v>
      </c>
      <c r="C186">
        <v>6</v>
      </c>
      <c r="D186">
        <v>1</v>
      </c>
      <c r="E186">
        <v>16.666666666666661</v>
      </c>
    </row>
    <row r="187" spans="1:5">
      <c r="A187" t="s">
        <v>6</v>
      </c>
      <c r="B187" t="s">
        <v>38</v>
      </c>
      <c r="C187">
        <v>11</v>
      </c>
      <c r="D187">
        <v>0</v>
      </c>
      <c r="E187">
        <v>0</v>
      </c>
    </row>
    <row r="188" spans="1:5">
      <c r="A188" t="s">
        <v>6</v>
      </c>
      <c r="B188" t="s">
        <v>39</v>
      </c>
      <c r="C188">
        <v>22</v>
      </c>
      <c r="D188">
        <v>4</v>
      </c>
      <c r="E188">
        <v>18.18181818181818</v>
      </c>
    </row>
    <row r="189" spans="1:5">
      <c r="A189" t="s">
        <v>6</v>
      </c>
      <c r="B189" t="s">
        <v>40</v>
      </c>
      <c r="C189">
        <v>25</v>
      </c>
      <c r="D189">
        <v>1</v>
      </c>
      <c r="E189">
        <v>4</v>
      </c>
    </row>
    <row r="190" spans="1:5">
      <c r="A190" t="s">
        <v>6</v>
      </c>
      <c r="B190" t="s">
        <v>41</v>
      </c>
      <c r="C190">
        <v>31</v>
      </c>
      <c r="D190">
        <v>0</v>
      </c>
      <c r="E190">
        <v>0</v>
      </c>
    </row>
    <row r="191" spans="1:5">
      <c r="A191" t="s">
        <v>6</v>
      </c>
      <c r="B191" t="s">
        <v>42</v>
      </c>
      <c r="C191">
        <v>15</v>
      </c>
      <c r="D191">
        <v>0</v>
      </c>
      <c r="E191">
        <v>0</v>
      </c>
    </row>
    <row r="192" spans="1:5">
      <c r="A192" t="s">
        <v>6</v>
      </c>
      <c r="B192" t="s">
        <v>43</v>
      </c>
      <c r="C192">
        <v>37</v>
      </c>
      <c r="D192">
        <v>0</v>
      </c>
      <c r="E192">
        <v>0</v>
      </c>
    </row>
    <row r="193" spans="1:5">
      <c r="A193" t="s">
        <v>6</v>
      </c>
      <c r="B193" t="s">
        <v>44</v>
      </c>
      <c r="C193">
        <v>38</v>
      </c>
      <c r="D193">
        <v>2</v>
      </c>
      <c r="E193">
        <v>5.2631578947368416</v>
      </c>
    </row>
    <row r="194" spans="1:5">
      <c r="A194" t="s">
        <v>6</v>
      </c>
      <c r="B194" t="s">
        <v>45</v>
      </c>
      <c r="C194">
        <v>41</v>
      </c>
      <c r="D194">
        <v>3</v>
      </c>
      <c r="E194">
        <v>7.3170731707317067</v>
      </c>
    </row>
    <row r="195" spans="1:5">
      <c r="A195" t="s">
        <v>6</v>
      </c>
      <c r="B195" t="s">
        <v>46</v>
      </c>
      <c r="C195">
        <v>48</v>
      </c>
      <c r="D195">
        <v>12</v>
      </c>
      <c r="E195">
        <v>25</v>
      </c>
    </row>
    <row r="196" spans="1:5">
      <c r="A196" t="s">
        <v>6</v>
      </c>
      <c r="B196" t="s">
        <v>47</v>
      </c>
      <c r="C196">
        <v>53</v>
      </c>
      <c r="D196">
        <v>28</v>
      </c>
      <c r="E196">
        <v>52.830188679245282</v>
      </c>
    </row>
    <row r="197" spans="1:5">
      <c r="A197" t="s">
        <v>6</v>
      </c>
      <c r="B197" t="s">
        <v>48</v>
      </c>
      <c r="C197">
        <v>40</v>
      </c>
      <c r="D197">
        <v>5</v>
      </c>
      <c r="E197">
        <v>12.5</v>
      </c>
    </row>
    <row r="198" spans="1:5">
      <c r="A198" t="s">
        <v>6</v>
      </c>
      <c r="B198" t="s">
        <v>49</v>
      </c>
      <c r="C198">
        <v>55</v>
      </c>
      <c r="D198">
        <v>4</v>
      </c>
      <c r="E198">
        <v>7.2727272727272716</v>
      </c>
    </row>
    <row r="199" spans="1:5">
      <c r="A199" t="s">
        <v>6</v>
      </c>
      <c r="B199" t="s">
        <v>50</v>
      </c>
      <c r="C199">
        <v>55</v>
      </c>
      <c r="D199">
        <v>18</v>
      </c>
      <c r="E199">
        <v>32.727272727272727</v>
      </c>
    </row>
    <row r="200" spans="1:5">
      <c r="A200" t="s">
        <v>6</v>
      </c>
      <c r="B200" t="s">
        <v>51</v>
      </c>
      <c r="C200">
        <v>49</v>
      </c>
      <c r="D200">
        <v>25</v>
      </c>
      <c r="E200">
        <v>51.020408163265309</v>
      </c>
    </row>
    <row r="201" spans="1:5">
      <c r="A201" t="s">
        <v>6</v>
      </c>
      <c r="B201" t="s">
        <v>52</v>
      </c>
      <c r="C201">
        <v>46</v>
      </c>
      <c r="D201">
        <v>6</v>
      </c>
      <c r="E201">
        <v>13.043478260869559</v>
      </c>
    </row>
    <row r="202" spans="1:5">
      <c r="A202" t="s">
        <v>6</v>
      </c>
      <c r="B202" t="s">
        <v>53</v>
      </c>
      <c r="C202">
        <v>32</v>
      </c>
      <c r="D202">
        <v>2</v>
      </c>
      <c r="E202">
        <v>6.25</v>
      </c>
    </row>
    <row r="203" spans="1:5">
      <c r="A203" t="s">
        <v>6</v>
      </c>
      <c r="B203" t="s">
        <v>54</v>
      </c>
      <c r="C203">
        <v>41</v>
      </c>
      <c r="D203">
        <v>5</v>
      </c>
      <c r="E203">
        <v>12.195121951219511</v>
      </c>
    </row>
    <row r="204" spans="1:5">
      <c r="A204" t="s">
        <v>6</v>
      </c>
      <c r="B204" t="s">
        <v>55</v>
      </c>
      <c r="C204">
        <v>39</v>
      </c>
      <c r="D204">
        <v>7</v>
      </c>
      <c r="E204">
        <v>17.948717948717949</v>
      </c>
    </row>
    <row r="205" spans="1:5">
      <c r="A205" t="s">
        <v>6</v>
      </c>
      <c r="B205" t="s">
        <v>56</v>
      </c>
      <c r="C205">
        <v>29</v>
      </c>
      <c r="D205">
        <v>2</v>
      </c>
      <c r="E205">
        <v>6.8965517241379306</v>
      </c>
    </row>
    <row r="206" spans="1:5">
      <c r="A206" t="s">
        <v>22</v>
      </c>
      <c r="B206" t="s">
        <v>57</v>
      </c>
      <c r="C206">
        <v>35</v>
      </c>
      <c r="D206">
        <v>0</v>
      </c>
      <c r="E206">
        <v>0</v>
      </c>
    </row>
    <row r="207" spans="1:5">
      <c r="A207" t="s">
        <v>22</v>
      </c>
      <c r="B207" t="s">
        <v>37</v>
      </c>
      <c r="C207">
        <v>102</v>
      </c>
      <c r="D207">
        <v>0</v>
      </c>
      <c r="E207">
        <v>0</v>
      </c>
    </row>
    <row r="208" spans="1:5">
      <c r="A208" t="s">
        <v>22</v>
      </c>
      <c r="B208" t="s">
        <v>38</v>
      </c>
      <c r="C208">
        <v>241</v>
      </c>
      <c r="D208">
        <v>2</v>
      </c>
      <c r="E208">
        <v>0.82987551867219922</v>
      </c>
    </row>
    <row r="209" spans="1:5">
      <c r="A209" t="s">
        <v>22</v>
      </c>
      <c r="B209" t="s">
        <v>39</v>
      </c>
      <c r="C209">
        <v>343</v>
      </c>
      <c r="D209">
        <v>8</v>
      </c>
      <c r="E209">
        <v>2.3323615160349851</v>
      </c>
    </row>
    <row r="210" spans="1:5">
      <c r="A210" t="s">
        <v>22</v>
      </c>
      <c r="B210" t="s">
        <v>40</v>
      </c>
      <c r="C210">
        <v>266</v>
      </c>
      <c r="D210">
        <v>7</v>
      </c>
      <c r="E210">
        <v>2.6315789473684208</v>
      </c>
    </row>
    <row r="211" spans="1:5">
      <c r="A211" t="s">
        <v>22</v>
      </c>
      <c r="B211" t="s">
        <v>41</v>
      </c>
      <c r="C211">
        <v>412</v>
      </c>
      <c r="D211">
        <v>7</v>
      </c>
      <c r="E211">
        <v>1.6990291262135919</v>
      </c>
    </row>
    <row r="212" spans="1:5">
      <c r="A212" t="s">
        <v>22</v>
      </c>
      <c r="B212" t="s">
        <v>42</v>
      </c>
      <c r="C212">
        <v>356</v>
      </c>
      <c r="D212">
        <v>5</v>
      </c>
      <c r="E212">
        <v>1.404494382022472</v>
      </c>
    </row>
    <row r="213" spans="1:5">
      <c r="A213" t="s">
        <v>22</v>
      </c>
      <c r="B213" t="s">
        <v>43</v>
      </c>
      <c r="C213">
        <v>435</v>
      </c>
      <c r="D213">
        <v>4</v>
      </c>
      <c r="E213">
        <v>0.91954022988505757</v>
      </c>
    </row>
    <row r="214" spans="1:5">
      <c r="A214" t="s">
        <v>22</v>
      </c>
      <c r="B214" t="s">
        <v>44</v>
      </c>
      <c r="C214">
        <v>459</v>
      </c>
      <c r="D214">
        <v>11</v>
      </c>
      <c r="E214">
        <v>2.3965141612200438</v>
      </c>
    </row>
    <row r="215" spans="1:5">
      <c r="A215" t="s">
        <v>22</v>
      </c>
      <c r="B215" t="s">
        <v>45</v>
      </c>
      <c r="C215">
        <v>493</v>
      </c>
      <c r="D215">
        <v>5</v>
      </c>
      <c r="E215">
        <v>1.01419878296146</v>
      </c>
    </row>
    <row r="216" spans="1:5">
      <c r="A216" t="s">
        <v>22</v>
      </c>
      <c r="B216" t="s">
        <v>46</v>
      </c>
      <c r="C216">
        <v>542</v>
      </c>
      <c r="D216">
        <v>5</v>
      </c>
      <c r="E216">
        <v>0.92250922509225075</v>
      </c>
    </row>
    <row r="217" spans="1:5">
      <c r="A217" t="s">
        <v>22</v>
      </c>
      <c r="B217" t="s">
        <v>47</v>
      </c>
      <c r="C217">
        <v>922</v>
      </c>
      <c r="D217">
        <v>66</v>
      </c>
      <c r="E217">
        <v>7.1583514099783088</v>
      </c>
    </row>
    <row r="218" spans="1:5">
      <c r="A218" t="s">
        <v>22</v>
      </c>
      <c r="B218" t="s">
        <v>48</v>
      </c>
      <c r="C218">
        <v>669</v>
      </c>
      <c r="D218">
        <v>23</v>
      </c>
      <c r="E218">
        <v>3.4379671150971598</v>
      </c>
    </row>
    <row r="219" spans="1:5">
      <c r="A219" t="s">
        <v>22</v>
      </c>
      <c r="B219" t="s">
        <v>49</v>
      </c>
      <c r="C219">
        <v>846</v>
      </c>
      <c r="D219">
        <v>26</v>
      </c>
      <c r="E219">
        <v>3.0732860520094558</v>
      </c>
    </row>
    <row r="220" spans="1:5">
      <c r="A220" t="s">
        <v>22</v>
      </c>
      <c r="B220" t="s">
        <v>50</v>
      </c>
      <c r="C220">
        <v>790</v>
      </c>
      <c r="D220">
        <v>66</v>
      </c>
      <c r="E220">
        <v>8.3544303797468356</v>
      </c>
    </row>
    <row r="221" spans="1:5">
      <c r="A221" t="s">
        <v>22</v>
      </c>
      <c r="B221" t="s">
        <v>51</v>
      </c>
      <c r="C221">
        <v>856</v>
      </c>
      <c r="D221">
        <v>175</v>
      </c>
      <c r="E221">
        <v>20.443925233644869</v>
      </c>
    </row>
    <row r="222" spans="1:5">
      <c r="A222" t="s">
        <v>22</v>
      </c>
      <c r="B222" t="s">
        <v>52</v>
      </c>
      <c r="C222">
        <v>778</v>
      </c>
      <c r="D222">
        <v>19</v>
      </c>
      <c r="E222">
        <v>2.442159383033419</v>
      </c>
    </row>
    <row r="223" spans="1:5">
      <c r="A223" t="s">
        <v>22</v>
      </c>
      <c r="B223" t="s">
        <v>53</v>
      </c>
      <c r="C223">
        <v>751</v>
      </c>
      <c r="D223">
        <v>69</v>
      </c>
      <c r="E223">
        <v>9.1877496671105181</v>
      </c>
    </row>
    <row r="224" spans="1:5">
      <c r="A224" t="s">
        <v>22</v>
      </c>
      <c r="B224" t="s">
        <v>54</v>
      </c>
      <c r="C224">
        <v>714</v>
      </c>
      <c r="D224">
        <v>1</v>
      </c>
      <c r="E224">
        <v>0.14005602240896359</v>
      </c>
    </row>
    <row r="225" spans="1:5">
      <c r="A225" t="s">
        <v>22</v>
      </c>
      <c r="B225" t="s">
        <v>55</v>
      </c>
      <c r="C225">
        <v>644</v>
      </c>
      <c r="D225">
        <v>8</v>
      </c>
      <c r="E225">
        <v>1.24223602484472</v>
      </c>
    </row>
    <row r="226" spans="1:5">
      <c r="A226" t="s">
        <v>22</v>
      </c>
      <c r="B226" t="s">
        <v>56</v>
      </c>
      <c r="C226">
        <v>700</v>
      </c>
      <c r="D226">
        <v>12</v>
      </c>
      <c r="E226">
        <v>1.714285714285714</v>
      </c>
    </row>
    <row r="227" spans="1:5">
      <c r="A227" t="s">
        <v>23</v>
      </c>
      <c r="B227" t="s">
        <v>37</v>
      </c>
      <c r="C227">
        <v>1</v>
      </c>
      <c r="D227">
        <v>0</v>
      </c>
      <c r="E227">
        <v>0</v>
      </c>
    </row>
    <row r="228" spans="1:5">
      <c r="A228" t="s">
        <v>23</v>
      </c>
      <c r="B228" t="s">
        <v>38</v>
      </c>
      <c r="C228">
        <v>11</v>
      </c>
      <c r="D228">
        <v>0</v>
      </c>
      <c r="E228">
        <v>0</v>
      </c>
    </row>
    <row r="229" spans="1:5">
      <c r="A229" t="s">
        <v>23</v>
      </c>
      <c r="B229" t="s">
        <v>39</v>
      </c>
      <c r="C229">
        <v>19</v>
      </c>
      <c r="D229">
        <v>0</v>
      </c>
      <c r="E229">
        <v>0</v>
      </c>
    </row>
    <row r="230" spans="1:5">
      <c r="A230" t="s">
        <v>23</v>
      </c>
      <c r="B230" t="s">
        <v>40</v>
      </c>
      <c r="C230">
        <v>15</v>
      </c>
      <c r="D230">
        <v>1</v>
      </c>
      <c r="E230">
        <v>6.666666666666667</v>
      </c>
    </row>
    <row r="231" spans="1:5">
      <c r="A231" t="s">
        <v>23</v>
      </c>
      <c r="B231" t="s">
        <v>41</v>
      </c>
      <c r="C231">
        <v>26</v>
      </c>
      <c r="D231">
        <v>0</v>
      </c>
      <c r="E231">
        <v>0</v>
      </c>
    </row>
    <row r="232" spans="1:5">
      <c r="A232" t="s">
        <v>23</v>
      </c>
      <c r="B232" t="s">
        <v>42</v>
      </c>
      <c r="C232">
        <v>27</v>
      </c>
      <c r="D232">
        <v>0</v>
      </c>
      <c r="E232">
        <v>0</v>
      </c>
    </row>
    <row r="233" spans="1:5">
      <c r="A233" t="s">
        <v>23</v>
      </c>
      <c r="B233" t="s">
        <v>43</v>
      </c>
      <c r="C233">
        <v>24</v>
      </c>
      <c r="D233">
        <v>0</v>
      </c>
      <c r="E233">
        <v>0</v>
      </c>
    </row>
    <row r="234" spans="1:5">
      <c r="A234" t="s">
        <v>23</v>
      </c>
      <c r="B234" t="s">
        <v>44</v>
      </c>
      <c r="C234">
        <v>24</v>
      </c>
      <c r="D234">
        <v>0</v>
      </c>
      <c r="E234">
        <v>0</v>
      </c>
    </row>
    <row r="235" spans="1:5">
      <c r="A235" t="s">
        <v>23</v>
      </c>
      <c r="B235" t="s">
        <v>45</v>
      </c>
      <c r="C235">
        <v>32</v>
      </c>
      <c r="D235">
        <v>0</v>
      </c>
      <c r="E235">
        <v>0</v>
      </c>
    </row>
    <row r="236" spans="1:5">
      <c r="A236" t="s">
        <v>23</v>
      </c>
      <c r="B236" t="s">
        <v>46</v>
      </c>
      <c r="C236">
        <v>33</v>
      </c>
      <c r="D236">
        <v>2</v>
      </c>
      <c r="E236">
        <v>6.0606060606060614</v>
      </c>
    </row>
    <row r="237" spans="1:5">
      <c r="A237" t="s">
        <v>23</v>
      </c>
      <c r="B237" t="s">
        <v>47</v>
      </c>
      <c r="C237">
        <v>44</v>
      </c>
      <c r="D237">
        <v>4</v>
      </c>
      <c r="E237">
        <v>9.0909090909090917</v>
      </c>
    </row>
    <row r="238" spans="1:5">
      <c r="A238" t="s">
        <v>23</v>
      </c>
      <c r="B238" t="s">
        <v>48</v>
      </c>
      <c r="C238">
        <v>34</v>
      </c>
      <c r="D238">
        <v>2</v>
      </c>
      <c r="E238">
        <v>5.8823529411764701</v>
      </c>
    </row>
    <row r="239" spans="1:5">
      <c r="A239" t="s">
        <v>23</v>
      </c>
      <c r="B239" t="s">
        <v>49</v>
      </c>
      <c r="C239">
        <v>70</v>
      </c>
      <c r="D239">
        <v>3</v>
      </c>
      <c r="E239">
        <v>4.2857142857142856</v>
      </c>
    </row>
    <row r="240" spans="1:5">
      <c r="A240" t="s">
        <v>23</v>
      </c>
      <c r="B240" t="s">
        <v>50</v>
      </c>
      <c r="C240">
        <v>64</v>
      </c>
      <c r="D240">
        <v>13</v>
      </c>
      <c r="E240">
        <v>20.3125</v>
      </c>
    </row>
    <row r="241" spans="1:5">
      <c r="A241" t="s">
        <v>23</v>
      </c>
      <c r="B241" t="s">
        <v>51</v>
      </c>
      <c r="C241">
        <v>57</v>
      </c>
      <c r="D241">
        <v>23</v>
      </c>
      <c r="E241">
        <v>40.350877192982452</v>
      </c>
    </row>
    <row r="242" spans="1:5">
      <c r="A242" t="s">
        <v>23</v>
      </c>
      <c r="B242" t="s">
        <v>52</v>
      </c>
      <c r="C242">
        <v>43</v>
      </c>
      <c r="D242">
        <v>3</v>
      </c>
      <c r="E242">
        <v>6.9767441860465116</v>
      </c>
    </row>
    <row r="243" spans="1:5">
      <c r="A243" t="s">
        <v>23</v>
      </c>
      <c r="B243" t="s">
        <v>53</v>
      </c>
      <c r="C243">
        <v>44</v>
      </c>
      <c r="D243">
        <v>4</v>
      </c>
      <c r="E243">
        <v>9.0909090909090917</v>
      </c>
    </row>
    <row r="244" spans="1:5">
      <c r="A244" t="s">
        <v>23</v>
      </c>
      <c r="B244" t="s">
        <v>54</v>
      </c>
      <c r="C244">
        <v>49</v>
      </c>
      <c r="D244">
        <v>1</v>
      </c>
      <c r="E244">
        <v>2.0408163265306118</v>
      </c>
    </row>
    <row r="245" spans="1:5">
      <c r="A245" t="s">
        <v>23</v>
      </c>
      <c r="B245" t="s">
        <v>55</v>
      </c>
      <c r="C245">
        <v>49</v>
      </c>
      <c r="D245">
        <v>2</v>
      </c>
      <c r="E245">
        <v>4.0816326530612246</v>
      </c>
    </row>
    <row r="246" spans="1:5">
      <c r="A246" t="s">
        <v>23</v>
      </c>
      <c r="B246" t="s">
        <v>56</v>
      </c>
      <c r="C246">
        <v>35</v>
      </c>
      <c r="D246">
        <v>10</v>
      </c>
      <c r="E246">
        <v>28.571428571428569</v>
      </c>
    </row>
    <row r="247" spans="1:5">
      <c r="A247" t="s">
        <v>25</v>
      </c>
      <c r="B247" t="s">
        <v>57</v>
      </c>
      <c r="C247">
        <v>1</v>
      </c>
      <c r="D247">
        <v>0</v>
      </c>
      <c r="E247">
        <v>0</v>
      </c>
    </row>
    <row r="248" spans="1:5">
      <c r="A248" t="s">
        <v>25</v>
      </c>
      <c r="B248" t="s">
        <v>37</v>
      </c>
      <c r="C248">
        <v>9</v>
      </c>
      <c r="D248">
        <v>0</v>
      </c>
      <c r="E248">
        <v>0</v>
      </c>
    </row>
    <row r="249" spans="1:5">
      <c r="A249" t="s">
        <v>25</v>
      </c>
      <c r="B249" t="s">
        <v>38</v>
      </c>
      <c r="C249">
        <v>17</v>
      </c>
      <c r="D249">
        <v>0</v>
      </c>
      <c r="E249">
        <v>0</v>
      </c>
    </row>
    <row r="250" spans="1:5">
      <c r="A250" t="s">
        <v>25</v>
      </c>
      <c r="B250" t="s">
        <v>39</v>
      </c>
      <c r="C250">
        <v>16</v>
      </c>
      <c r="D250">
        <v>4</v>
      </c>
      <c r="E250">
        <v>25</v>
      </c>
    </row>
    <row r="251" spans="1:5">
      <c r="A251" t="s">
        <v>25</v>
      </c>
      <c r="B251" t="s">
        <v>40</v>
      </c>
      <c r="C251">
        <v>25</v>
      </c>
      <c r="D251">
        <v>2</v>
      </c>
      <c r="E251">
        <v>8</v>
      </c>
    </row>
    <row r="252" spans="1:5">
      <c r="A252" t="s">
        <v>25</v>
      </c>
      <c r="B252" t="s">
        <v>41</v>
      </c>
      <c r="C252">
        <v>37</v>
      </c>
      <c r="D252">
        <v>1</v>
      </c>
      <c r="E252">
        <v>2.7027027027027022</v>
      </c>
    </row>
    <row r="253" spans="1:5">
      <c r="A253" t="s">
        <v>25</v>
      </c>
      <c r="B253" t="s">
        <v>42</v>
      </c>
      <c r="C253">
        <v>24</v>
      </c>
      <c r="D253">
        <v>1</v>
      </c>
      <c r="E253">
        <v>4.1666666666666661</v>
      </c>
    </row>
    <row r="254" spans="1:5">
      <c r="A254" t="s">
        <v>25</v>
      </c>
      <c r="B254" t="s">
        <v>43</v>
      </c>
      <c r="C254">
        <v>37</v>
      </c>
      <c r="D254">
        <v>0</v>
      </c>
      <c r="E254">
        <v>0</v>
      </c>
    </row>
    <row r="255" spans="1:5">
      <c r="A255" t="s">
        <v>25</v>
      </c>
      <c r="B255" t="s">
        <v>44</v>
      </c>
      <c r="C255">
        <v>38</v>
      </c>
      <c r="D255">
        <v>0</v>
      </c>
      <c r="E255">
        <v>0</v>
      </c>
    </row>
    <row r="256" spans="1:5">
      <c r="A256" t="s">
        <v>25</v>
      </c>
      <c r="B256" t="s">
        <v>45</v>
      </c>
      <c r="C256">
        <v>34</v>
      </c>
      <c r="D256">
        <v>2</v>
      </c>
      <c r="E256">
        <v>5.8823529411764701</v>
      </c>
    </row>
    <row r="257" spans="1:5">
      <c r="A257" t="s">
        <v>25</v>
      </c>
      <c r="B257" t="s">
        <v>46</v>
      </c>
      <c r="C257">
        <v>50</v>
      </c>
      <c r="D257">
        <v>1</v>
      </c>
      <c r="E257">
        <v>2</v>
      </c>
    </row>
    <row r="258" spans="1:5">
      <c r="A258" t="s">
        <v>25</v>
      </c>
      <c r="B258" t="s">
        <v>47</v>
      </c>
      <c r="C258">
        <v>73</v>
      </c>
      <c r="D258">
        <v>9</v>
      </c>
      <c r="E258">
        <v>12.328767123287671</v>
      </c>
    </row>
    <row r="259" spans="1:5">
      <c r="A259" t="s">
        <v>25</v>
      </c>
      <c r="B259" t="s">
        <v>48</v>
      </c>
      <c r="C259">
        <v>49</v>
      </c>
      <c r="D259">
        <v>5</v>
      </c>
      <c r="E259">
        <v>10.204081632653059</v>
      </c>
    </row>
    <row r="260" spans="1:5">
      <c r="A260" t="s">
        <v>25</v>
      </c>
      <c r="B260" t="s">
        <v>49</v>
      </c>
      <c r="C260">
        <v>83</v>
      </c>
      <c r="D260">
        <v>3</v>
      </c>
      <c r="E260">
        <v>3.6144578313253009</v>
      </c>
    </row>
    <row r="261" spans="1:5">
      <c r="A261" t="s">
        <v>25</v>
      </c>
      <c r="B261" t="s">
        <v>50</v>
      </c>
      <c r="C261">
        <v>67</v>
      </c>
      <c r="D261">
        <v>8</v>
      </c>
      <c r="E261">
        <v>11.940298507462691</v>
      </c>
    </row>
    <row r="262" spans="1:5">
      <c r="A262" t="s">
        <v>25</v>
      </c>
      <c r="B262" t="s">
        <v>51</v>
      </c>
      <c r="C262">
        <v>52</v>
      </c>
      <c r="D262">
        <v>13</v>
      </c>
      <c r="E262">
        <v>25</v>
      </c>
    </row>
    <row r="263" spans="1:5">
      <c r="A263" t="s">
        <v>25</v>
      </c>
      <c r="B263" t="s">
        <v>52</v>
      </c>
      <c r="C263">
        <v>64</v>
      </c>
      <c r="D263">
        <v>1</v>
      </c>
      <c r="E263">
        <v>1.5625</v>
      </c>
    </row>
    <row r="264" spans="1:5">
      <c r="A264" t="s">
        <v>25</v>
      </c>
      <c r="B264" t="s">
        <v>53</v>
      </c>
      <c r="C264">
        <v>66</v>
      </c>
      <c r="D264">
        <v>2</v>
      </c>
      <c r="E264">
        <v>3.0303030303030298</v>
      </c>
    </row>
    <row r="265" spans="1:5">
      <c r="A265" t="s">
        <v>25</v>
      </c>
      <c r="B265" t="s">
        <v>54</v>
      </c>
      <c r="C265">
        <v>58</v>
      </c>
      <c r="D265">
        <v>1</v>
      </c>
      <c r="E265">
        <v>1.7241379310344831</v>
      </c>
    </row>
    <row r="266" spans="1:5">
      <c r="A266" t="s">
        <v>25</v>
      </c>
      <c r="B266" t="s">
        <v>55</v>
      </c>
      <c r="C266">
        <v>47</v>
      </c>
      <c r="D266">
        <v>0</v>
      </c>
      <c r="E266">
        <v>0</v>
      </c>
    </row>
    <row r="267" spans="1:5">
      <c r="A267" t="s">
        <v>25</v>
      </c>
      <c r="B267" t="s">
        <v>56</v>
      </c>
      <c r="C267">
        <v>39</v>
      </c>
      <c r="D267">
        <v>0</v>
      </c>
      <c r="E267">
        <v>0</v>
      </c>
    </row>
    <row r="268" spans="1:5">
      <c r="A268" t="s">
        <v>17</v>
      </c>
      <c r="B268" t="s">
        <v>57</v>
      </c>
      <c r="C268">
        <v>4</v>
      </c>
      <c r="D268">
        <v>0</v>
      </c>
      <c r="E268">
        <v>0</v>
      </c>
    </row>
    <row r="269" spans="1:5">
      <c r="A269" t="s">
        <v>17</v>
      </c>
      <c r="B269" t="s">
        <v>37</v>
      </c>
      <c r="C269">
        <v>10</v>
      </c>
      <c r="D269">
        <v>0</v>
      </c>
      <c r="E269">
        <v>0</v>
      </c>
    </row>
    <row r="270" spans="1:5">
      <c r="A270" t="s">
        <v>17</v>
      </c>
      <c r="B270" t="s">
        <v>38</v>
      </c>
      <c r="C270">
        <v>24</v>
      </c>
      <c r="D270">
        <v>0</v>
      </c>
      <c r="E270">
        <v>0</v>
      </c>
    </row>
    <row r="271" spans="1:5">
      <c r="A271" t="s">
        <v>17</v>
      </c>
      <c r="B271" t="s">
        <v>39</v>
      </c>
      <c r="C271">
        <v>35</v>
      </c>
      <c r="D271">
        <v>3</v>
      </c>
      <c r="E271">
        <v>8.5714285714285712</v>
      </c>
    </row>
    <row r="272" spans="1:5">
      <c r="A272" t="s">
        <v>17</v>
      </c>
      <c r="B272" t="s">
        <v>40</v>
      </c>
      <c r="C272">
        <v>36</v>
      </c>
      <c r="D272">
        <v>0</v>
      </c>
      <c r="E272">
        <v>0</v>
      </c>
    </row>
    <row r="273" spans="1:5">
      <c r="A273" t="s">
        <v>17</v>
      </c>
      <c r="B273" t="s">
        <v>41</v>
      </c>
      <c r="C273">
        <v>35</v>
      </c>
      <c r="D273">
        <v>1</v>
      </c>
      <c r="E273">
        <v>2.8571428571428572</v>
      </c>
    </row>
    <row r="274" spans="1:5">
      <c r="A274" t="s">
        <v>17</v>
      </c>
      <c r="B274" t="s">
        <v>42</v>
      </c>
      <c r="C274">
        <v>36</v>
      </c>
      <c r="D274">
        <v>2</v>
      </c>
      <c r="E274">
        <v>5.5555555555555554</v>
      </c>
    </row>
    <row r="275" spans="1:5">
      <c r="A275" t="s">
        <v>17</v>
      </c>
      <c r="B275" t="s">
        <v>43</v>
      </c>
      <c r="C275">
        <v>36</v>
      </c>
      <c r="D275">
        <v>3</v>
      </c>
      <c r="E275">
        <v>8.3333333333333321</v>
      </c>
    </row>
    <row r="276" spans="1:5">
      <c r="A276" t="s">
        <v>17</v>
      </c>
      <c r="B276" t="s">
        <v>44</v>
      </c>
      <c r="C276">
        <v>57</v>
      </c>
      <c r="D276">
        <v>0</v>
      </c>
      <c r="E276">
        <v>0</v>
      </c>
    </row>
    <row r="277" spans="1:5">
      <c r="A277" t="s">
        <v>17</v>
      </c>
      <c r="B277" t="s">
        <v>45</v>
      </c>
      <c r="C277">
        <v>41</v>
      </c>
      <c r="D277">
        <v>5</v>
      </c>
      <c r="E277">
        <v>12.195121951219511</v>
      </c>
    </row>
    <row r="278" spans="1:5">
      <c r="A278" t="s">
        <v>17</v>
      </c>
      <c r="B278" t="s">
        <v>46</v>
      </c>
      <c r="C278">
        <v>52</v>
      </c>
      <c r="D278">
        <v>3</v>
      </c>
      <c r="E278">
        <v>5.7692307692307692</v>
      </c>
    </row>
    <row r="279" spans="1:5">
      <c r="A279" t="s">
        <v>17</v>
      </c>
      <c r="B279" t="s">
        <v>47</v>
      </c>
      <c r="C279">
        <v>69</v>
      </c>
      <c r="D279">
        <v>10</v>
      </c>
      <c r="E279">
        <v>14.49275362318841</v>
      </c>
    </row>
    <row r="280" spans="1:5">
      <c r="A280" t="s">
        <v>17</v>
      </c>
      <c r="B280" t="s">
        <v>48</v>
      </c>
      <c r="C280">
        <v>58</v>
      </c>
      <c r="D280">
        <v>4</v>
      </c>
      <c r="E280">
        <v>6.8965517241379306</v>
      </c>
    </row>
    <row r="281" spans="1:5">
      <c r="A281" t="s">
        <v>17</v>
      </c>
      <c r="B281" t="s">
        <v>49</v>
      </c>
      <c r="C281">
        <v>69</v>
      </c>
      <c r="D281">
        <v>6</v>
      </c>
      <c r="E281">
        <v>8.695652173913043</v>
      </c>
    </row>
    <row r="282" spans="1:5">
      <c r="A282" t="s">
        <v>17</v>
      </c>
      <c r="B282" t="s">
        <v>50</v>
      </c>
      <c r="C282">
        <v>57</v>
      </c>
      <c r="D282">
        <v>7</v>
      </c>
      <c r="E282">
        <v>12.28070175438596</v>
      </c>
    </row>
    <row r="283" spans="1:5">
      <c r="A283" t="s">
        <v>17</v>
      </c>
      <c r="B283" t="s">
        <v>51</v>
      </c>
      <c r="C283">
        <v>67</v>
      </c>
      <c r="D283">
        <v>34</v>
      </c>
      <c r="E283">
        <v>50.746268656716417</v>
      </c>
    </row>
    <row r="284" spans="1:5">
      <c r="A284" t="s">
        <v>17</v>
      </c>
      <c r="B284" t="s">
        <v>52</v>
      </c>
      <c r="C284">
        <v>66</v>
      </c>
      <c r="D284">
        <v>20</v>
      </c>
      <c r="E284">
        <v>30.303030303030301</v>
      </c>
    </row>
    <row r="285" spans="1:5">
      <c r="A285" t="s">
        <v>17</v>
      </c>
      <c r="B285" t="s">
        <v>53</v>
      </c>
      <c r="C285">
        <v>40</v>
      </c>
      <c r="D285">
        <v>5</v>
      </c>
      <c r="E285">
        <v>12.5</v>
      </c>
    </row>
    <row r="286" spans="1:5">
      <c r="A286" t="s">
        <v>17</v>
      </c>
      <c r="B286" t="s">
        <v>54</v>
      </c>
      <c r="C286">
        <v>54</v>
      </c>
      <c r="D286">
        <v>0</v>
      </c>
      <c r="E286">
        <v>0</v>
      </c>
    </row>
    <row r="287" spans="1:5">
      <c r="A287" t="s">
        <v>17</v>
      </c>
      <c r="B287" t="s">
        <v>55</v>
      </c>
      <c r="C287">
        <v>57</v>
      </c>
      <c r="D287">
        <v>3</v>
      </c>
      <c r="E287">
        <v>5.2631578947368416</v>
      </c>
    </row>
    <row r="288" spans="1:5">
      <c r="A288" t="s">
        <v>17</v>
      </c>
      <c r="B288" t="s">
        <v>56</v>
      </c>
      <c r="C288">
        <v>43</v>
      </c>
      <c r="D288">
        <v>0</v>
      </c>
      <c r="E288">
        <v>0</v>
      </c>
    </row>
    <row r="289" spans="1:5">
      <c r="A289" t="s">
        <v>20</v>
      </c>
      <c r="B289" t="s">
        <v>57</v>
      </c>
      <c r="C289">
        <v>1</v>
      </c>
      <c r="D289">
        <v>0</v>
      </c>
      <c r="E289">
        <v>0</v>
      </c>
    </row>
    <row r="290" spans="1:5">
      <c r="A290" t="s">
        <v>20</v>
      </c>
      <c r="B290" t="s">
        <v>37</v>
      </c>
      <c r="C290">
        <v>2</v>
      </c>
      <c r="D290">
        <v>0</v>
      </c>
      <c r="E290">
        <v>0</v>
      </c>
    </row>
    <row r="291" spans="1:5">
      <c r="A291" t="s">
        <v>20</v>
      </c>
      <c r="B291" t="s">
        <v>38</v>
      </c>
      <c r="C291">
        <v>11</v>
      </c>
      <c r="D291">
        <v>1</v>
      </c>
      <c r="E291">
        <v>9.0909090909090917</v>
      </c>
    </row>
    <row r="292" spans="1:5">
      <c r="A292" t="s">
        <v>20</v>
      </c>
      <c r="B292" t="s">
        <v>39</v>
      </c>
      <c r="C292">
        <v>16</v>
      </c>
      <c r="D292">
        <v>1</v>
      </c>
      <c r="E292">
        <v>6.25</v>
      </c>
    </row>
    <row r="293" spans="1:5">
      <c r="A293" t="s">
        <v>20</v>
      </c>
      <c r="B293" t="s">
        <v>40</v>
      </c>
      <c r="C293">
        <v>20</v>
      </c>
      <c r="D293">
        <v>3</v>
      </c>
      <c r="E293">
        <v>15</v>
      </c>
    </row>
    <row r="294" spans="1:5">
      <c r="A294" t="s">
        <v>20</v>
      </c>
      <c r="B294" t="s">
        <v>41</v>
      </c>
      <c r="C294">
        <v>17</v>
      </c>
      <c r="D294">
        <v>1</v>
      </c>
      <c r="E294">
        <v>5.8823529411764701</v>
      </c>
    </row>
    <row r="295" spans="1:5">
      <c r="A295" t="s">
        <v>20</v>
      </c>
      <c r="B295" t="s">
        <v>42</v>
      </c>
      <c r="C295">
        <v>22</v>
      </c>
      <c r="D295">
        <v>2</v>
      </c>
      <c r="E295">
        <v>9.0909090909090917</v>
      </c>
    </row>
    <row r="296" spans="1:5">
      <c r="A296" t="s">
        <v>20</v>
      </c>
      <c r="B296" t="s">
        <v>43</v>
      </c>
      <c r="C296">
        <v>26</v>
      </c>
      <c r="D296">
        <v>5</v>
      </c>
      <c r="E296">
        <v>19.230769230769241</v>
      </c>
    </row>
    <row r="297" spans="1:5">
      <c r="A297" t="s">
        <v>20</v>
      </c>
      <c r="B297" t="s">
        <v>44</v>
      </c>
      <c r="C297">
        <v>16</v>
      </c>
      <c r="D297">
        <v>1</v>
      </c>
      <c r="E297">
        <v>6.25</v>
      </c>
    </row>
    <row r="298" spans="1:5">
      <c r="A298" t="s">
        <v>20</v>
      </c>
      <c r="B298" t="s">
        <v>45</v>
      </c>
      <c r="C298">
        <v>25</v>
      </c>
      <c r="D298">
        <v>7</v>
      </c>
      <c r="E298">
        <v>28</v>
      </c>
    </row>
    <row r="299" spans="1:5">
      <c r="A299" t="s">
        <v>20</v>
      </c>
      <c r="B299" t="s">
        <v>46</v>
      </c>
      <c r="C299">
        <v>28</v>
      </c>
      <c r="D299">
        <v>0</v>
      </c>
      <c r="E299">
        <v>0</v>
      </c>
    </row>
    <row r="300" spans="1:5">
      <c r="A300" t="s">
        <v>20</v>
      </c>
      <c r="B300" t="s">
        <v>47</v>
      </c>
      <c r="C300">
        <v>27</v>
      </c>
      <c r="D300">
        <v>5</v>
      </c>
      <c r="E300">
        <v>18.518518518518519</v>
      </c>
    </row>
    <row r="301" spans="1:5">
      <c r="A301" t="s">
        <v>20</v>
      </c>
      <c r="B301" t="s">
        <v>48</v>
      </c>
      <c r="C301">
        <v>37</v>
      </c>
      <c r="D301">
        <v>4</v>
      </c>
      <c r="E301">
        <v>10.810810810810811</v>
      </c>
    </row>
    <row r="302" spans="1:5">
      <c r="A302" t="s">
        <v>20</v>
      </c>
      <c r="B302" t="s">
        <v>49</v>
      </c>
      <c r="C302">
        <v>31</v>
      </c>
      <c r="D302">
        <v>4</v>
      </c>
      <c r="E302">
        <v>12.90322580645161</v>
      </c>
    </row>
    <row r="303" spans="1:5">
      <c r="A303" t="s">
        <v>20</v>
      </c>
      <c r="B303" t="s">
        <v>50</v>
      </c>
      <c r="C303">
        <v>35</v>
      </c>
      <c r="D303">
        <v>3</v>
      </c>
      <c r="E303">
        <v>8.5714285714285712</v>
      </c>
    </row>
    <row r="304" spans="1:5">
      <c r="A304" t="s">
        <v>20</v>
      </c>
      <c r="B304" t="s">
        <v>51</v>
      </c>
      <c r="C304">
        <v>39</v>
      </c>
      <c r="D304">
        <v>5</v>
      </c>
      <c r="E304">
        <v>12.820512820512819</v>
      </c>
    </row>
    <row r="305" spans="1:5">
      <c r="A305" t="s">
        <v>20</v>
      </c>
      <c r="B305" t="s">
        <v>52</v>
      </c>
      <c r="C305">
        <v>28</v>
      </c>
      <c r="D305">
        <v>6</v>
      </c>
      <c r="E305">
        <v>21.428571428571431</v>
      </c>
    </row>
    <row r="306" spans="1:5">
      <c r="A306" t="s">
        <v>20</v>
      </c>
      <c r="B306" t="s">
        <v>53</v>
      </c>
      <c r="C306">
        <v>29</v>
      </c>
      <c r="D306">
        <v>1</v>
      </c>
      <c r="E306">
        <v>3.4482758620689649</v>
      </c>
    </row>
    <row r="307" spans="1:5">
      <c r="A307" t="s">
        <v>20</v>
      </c>
      <c r="B307" t="s">
        <v>54</v>
      </c>
      <c r="C307">
        <v>28</v>
      </c>
      <c r="D307">
        <v>1</v>
      </c>
      <c r="E307">
        <v>3.5714285714285712</v>
      </c>
    </row>
    <row r="308" spans="1:5">
      <c r="A308" t="s">
        <v>20</v>
      </c>
      <c r="B308" t="s">
        <v>55</v>
      </c>
      <c r="C308">
        <v>51</v>
      </c>
      <c r="D308">
        <v>2</v>
      </c>
      <c r="E308">
        <v>3.9215686274509798</v>
      </c>
    </row>
    <row r="309" spans="1:5">
      <c r="A309" t="s">
        <v>20</v>
      </c>
      <c r="B309" t="s">
        <v>56</v>
      </c>
      <c r="C309">
        <v>28</v>
      </c>
      <c r="D309">
        <v>2</v>
      </c>
      <c r="E309">
        <v>7.1428571428571423</v>
      </c>
    </row>
    <row r="310" spans="1:5">
      <c r="A310" t="s">
        <v>24</v>
      </c>
      <c r="B310" t="s">
        <v>57</v>
      </c>
      <c r="C310">
        <v>6</v>
      </c>
      <c r="D310">
        <v>0</v>
      </c>
      <c r="E310">
        <v>0</v>
      </c>
    </row>
    <row r="311" spans="1:5">
      <c r="A311" t="s">
        <v>24</v>
      </c>
      <c r="B311" t="s">
        <v>37</v>
      </c>
      <c r="C311">
        <v>9</v>
      </c>
      <c r="D311">
        <v>1</v>
      </c>
      <c r="E311">
        <v>11.111111111111111</v>
      </c>
    </row>
    <row r="312" spans="1:5">
      <c r="A312" t="s">
        <v>24</v>
      </c>
      <c r="B312" t="s">
        <v>38</v>
      </c>
      <c r="C312">
        <v>20</v>
      </c>
      <c r="D312">
        <v>1</v>
      </c>
      <c r="E312">
        <v>5</v>
      </c>
    </row>
    <row r="313" spans="1:5">
      <c r="A313" t="s">
        <v>24</v>
      </c>
      <c r="B313" t="s">
        <v>39</v>
      </c>
      <c r="C313">
        <v>36</v>
      </c>
      <c r="D313">
        <v>1</v>
      </c>
      <c r="E313">
        <v>2.7777777777777781</v>
      </c>
    </row>
    <row r="314" spans="1:5">
      <c r="A314" t="s">
        <v>24</v>
      </c>
      <c r="B314" t="s">
        <v>40</v>
      </c>
      <c r="C314">
        <v>36</v>
      </c>
      <c r="D314">
        <v>3</v>
      </c>
      <c r="E314">
        <v>8.3333333333333321</v>
      </c>
    </row>
    <row r="315" spans="1:5">
      <c r="A315" t="s">
        <v>24</v>
      </c>
      <c r="B315" t="s">
        <v>41</v>
      </c>
      <c r="C315">
        <v>63</v>
      </c>
      <c r="D315">
        <v>1</v>
      </c>
      <c r="E315">
        <v>1.587301587301587</v>
      </c>
    </row>
    <row r="316" spans="1:5">
      <c r="A316" t="s">
        <v>24</v>
      </c>
      <c r="B316" t="s">
        <v>42</v>
      </c>
      <c r="C316">
        <v>41</v>
      </c>
      <c r="D316">
        <v>2</v>
      </c>
      <c r="E316">
        <v>4.8780487804878048</v>
      </c>
    </row>
    <row r="317" spans="1:5">
      <c r="A317" t="s">
        <v>24</v>
      </c>
      <c r="B317" t="s">
        <v>43</v>
      </c>
      <c r="C317">
        <v>70</v>
      </c>
      <c r="D317">
        <v>13</v>
      </c>
      <c r="E317">
        <v>18.571428571428569</v>
      </c>
    </row>
    <row r="318" spans="1:5">
      <c r="A318" t="s">
        <v>24</v>
      </c>
      <c r="B318" t="s">
        <v>44</v>
      </c>
      <c r="C318">
        <v>83</v>
      </c>
      <c r="D318">
        <v>12</v>
      </c>
      <c r="E318">
        <v>14.4578313253012</v>
      </c>
    </row>
    <row r="319" spans="1:5">
      <c r="A319" t="s">
        <v>24</v>
      </c>
      <c r="B319" t="s">
        <v>45</v>
      </c>
      <c r="C319">
        <v>74</v>
      </c>
      <c r="D319">
        <v>6</v>
      </c>
      <c r="E319">
        <v>8.1081081081081088</v>
      </c>
    </row>
    <row r="320" spans="1:5">
      <c r="A320" t="s">
        <v>24</v>
      </c>
      <c r="B320" t="s">
        <v>46</v>
      </c>
      <c r="C320">
        <v>77</v>
      </c>
      <c r="D320">
        <v>5</v>
      </c>
      <c r="E320">
        <v>6.4935064935064926</v>
      </c>
    </row>
    <row r="321" spans="1:5">
      <c r="A321" t="s">
        <v>24</v>
      </c>
      <c r="B321" t="s">
        <v>47</v>
      </c>
      <c r="C321">
        <v>125</v>
      </c>
      <c r="D321">
        <v>15</v>
      </c>
      <c r="E321">
        <v>12</v>
      </c>
    </row>
    <row r="322" spans="1:5">
      <c r="A322" t="s">
        <v>24</v>
      </c>
      <c r="B322" t="s">
        <v>48</v>
      </c>
      <c r="C322">
        <v>101</v>
      </c>
      <c r="D322">
        <v>8</v>
      </c>
      <c r="E322">
        <v>7.9207920792079207</v>
      </c>
    </row>
    <row r="323" spans="1:5">
      <c r="A323" t="s">
        <v>24</v>
      </c>
      <c r="B323" t="s">
        <v>49</v>
      </c>
      <c r="C323">
        <v>102</v>
      </c>
      <c r="D323">
        <v>8</v>
      </c>
      <c r="E323">
        <v>7.8431372549019596</v>
      </c>
    </row>
    <row r="324" spans="1:5">
      <c r="A324" t="s">
        <v>24</v>
      </c>
      <c r="B324" t="s">
        <v>50</v>
      </c>
      <c r="C324">
        <v>121</v>
      </c>
      <c r="D324">
        <v>14</v>
      </c>
      <c r="E324">
        <v>11.5702479338843</v>
      </c>
    </row>
    <row r="325" spans="1:5">
      <c r="A325" t="s">
        <v>24</v>
      </c>
      <c r="B325" t="s">
        <v>51</v>
      </c>
      <c r="C325">
        <v>107</v>
      </c>
      <c r="D325">
        <v>22</v>
      </c>
      <c r="E325">
        <v>20.5607476635514</v>
      </c>
    </row>
    <row r="326" spans="1:5">
      <c r="A326" t="s">
        <v>24</v>
      </c>
      <c r="B326" t="s">
        <v>52</v>
      </c>
      <c r="C326">
        <v>110</v>
      </c>
      <c r="D326">
        <v>15</v>
      </c>
      <c r="E326">
        <v>13.63636363636364</v>
      </c>
    </row>
    <row r="327" spans="1:5">
      <c r="A327" t="s">
        <v>24</v>
      </c>
      <c r="B327" t="s">
        <v>53</v>
      </c>
      <c r="C327">
        <v>102</v>
      </c>
      <c r="D327">
        <v>12</v>
      </c>
      <c r="E327">
        <v>11.76470588235294</v>
      </c>
    </row>
    <row r="328" spans="1:5">
      <c r="A328" t="s">
        <v>24</v>
      </c>
      <c r="B328" t="s">
        <v>54</v>
      </c>
      <c r="C328">
        <v>91</v>
      </c>
      <c r="D328">
        <v>2</v>
      </c>
      <c r="E328">
        <v>2.197802197802198</v>
      </c>
    </row>
    <row r="329" spans="1:5">
      <c r="A329" t="s">
        <v>24</v>
      </c>
      <c r="B329" t="s">
        <v>55</v>
      </c>
      <c r="C329">
        <v>136</v>
      </c>
      <c r="D329">
        <v>8</v>
      </c>
      <c r="E329">
        <v>5.8823529411764701</v>
      </c>
    </row>
    <row r="330" spans="1:5">
      <c r="A330" t="s">
        <v>24</v>
      </c>
      <c r="B330" t="s">
        <v>56</v>
      </c>
      <c r="C330">
        <v>83</v>
      </c>
      <c r="D330">
        <v>4</v>
      </c>
      <c r="E330">
        <v>4.8192771084337354</v>
      </c>
    </row>
    <row r="331" spans="1:5">
      <c r="A331" t="s">
        <v>9</v>
      </c>
      <c r="B331" t="s">
        <v>57</v>
      </c>
      <c r="C331">
        <v>1</v>
      </c>
      <c r="D331">
        <v>0</v>
      </c>
      <c r="E331">
        <v>0</v>
      </c>
    </row>
    <row r="332" spans="1:5">
      <c r="A332" t="s">
        <v>9</v>
      </c>
      <c r="B332" t="s">
        <v>37</v>
      </c>
      <c r="C332">
        <v>7</v>
      </c>
      <c r="D332">
        <v>0</v>
      </c>
      <c r="E332">
        <v>0</v>
      </c>
    </row>
    <row r="333" spans="1:5">
      <c r="A333" t="s">
        <v>9</v>
      </c>
      <c r="B333" t="s">
        <v>38</v>
      </c>
      <c r="C333">
        <v>10</v>
      </c>
      <c r="D333">
        <v>0</v>
      </c>
      <c r="E333">
        <v>0</v>
      </c>
    </row>
    <row r="334" spans="1:5">
      <c r="A334" t="s">
        <v>9</v>
      </c>
      <c r="B334" t="s">
        <v>39</v>
      </c>
      <c r="C334">
        <v>13</v>
      </c>
      <c r="D334">
        <v>3</v>
      </c>
      <c r="E334">
        <v>23.07692307692308</v>
      </c>
    </row>
    <row r="335" spans="1:5">
      <c r="A335" t="s">
        <v>9</v>
      </c>
      <c r="B335" t="s">
        <v>40</v>
      </c>
      <c r="C335">
        <v>11</v>
      </c>
      <c r="D335">
        <v>0</v>
      </c>
      <c r="E335">
        <v>0</v>
      </c>
    </row>
    <row r="336" spans="1:5">
      <c r="A336" t="s">
        <v>9</v>
      </c>
      <c r="B336" t="s">
        <v>41</v>
      </c>
      <c r="C336">
        <v>23</v>
      </c>
      <c r="D336">
        <v>0</v>
      </c>
      <c r="E336">
        <v>0</v>
      </c>
    </row>
    <row r="337" spans="1:5">
      <c r="A337" t="s">
        <v>9</v>
      </c>
      <c r="B337" t="s">
        <v>42</v>
      </c>
      <c r="C337">
        <v>14</v>
      </c>
      <c r="D337">
        <v>0</v>
      </c>
      <c r="E337">
        <v>0</v>
      </c>
    </row>
    <row r="338" spans="1:5">
      <c r="A338" t="s">
        <v>9</v>
      </c>
      <c r="B338" t="s">
        <v>43</v>
      </c>
      <c r="C338">
        <v>20</v>
      </c>
      <c r="D338">
        <v>1</v>
      </c>
      <c r="E338">
        <v>5</v>
      </c>
    </row>
    <row r="339" spans="1:5">
      <c r="A339" t="s">
        <v>9</v>
      </c>
      <c r="B339" t="s">
        <v>44</v>
      </c>
      <c r="C339">
        <v>20</v>
      </c>
      <c r="D339">
        <v>0</v>
      </c>
      <c r="E339">
        <v>0</v>
      </c>
    </row>
    <row r="340" spans="1:5">
      <c r="A340" t="s">
        <v>9</v>
      </c>
      <c r="B340" t="s">
        <v>45</v>
      </c>
      <c r="C340">
        <v>22</v>
      </c>
      <c r="D340">
        <v>1</v>
      </c>
      <c r="E340">
        <v>4.5454545454545459</v>
      </c>
    </row>
    <row r="341" spans="1:5">
      <c r="A341" t="s">
        <v>9</v>
      </c>
      <c r="B341" t="s">
        <v>46</v>
      </c>
      <c r="C341">
        <v>23</v>
      </c>
      <c r="D341">
        <v>0</v>
      </c>
      <c r="E341">
        <v>0</v>
      </c>
    </row>
    <row r="342" spans="1:5">
      <c r="A342" t="s">
        <v>9</v>
      </c>
      <c r="B342" t="s">
        <v>47</v>
      </c>
      <c r="C342">
        <v>31</v>
      </c>
      <c r="D342">
        <v>15</v>
      </c>
      <c r="E342">
        <v>48.387096774193552</v>
      </c>
    </row>
    <row r="343" spans="1:5">
      <c r="A343" t="s">
        <v>9</v>
      </c>
      <c r="B343" t="s">
        <v>48</v>
      </c>
      <c r="C343">
        <v>23</v>
      </c>
      <c r="D343">
        <v>3</v>
      </c>
      <c r="E343">
        <v>13.043478260869559</v>
      </c>
    </row>
    <row r="344" spans="1:5">
      <c r="A344" t="s">
        <v>9</v>
      </c>
      <c r="B344" t="s">
        <v>49</v>
      </c>
      <c r="C344">
        <v>47</v>
      </c>
      <c r="D344">
        <v>5</v>
      </c>
      <c r="E344">
        <v>10.63829787234042</v>
      </c>
    </row>
    <row r="345" spans="1:5">
      <c r="A345" t="s">
        <v>9</v>
      </c>
      <c r="B345" t="s">
        <v>50</v>
      </c>
      <c r="C345">
        <v>32</v>
      </c>
      <c r="D345">
        <v>7</v>
      </c>
      <c r="E345">
        <v>21.875</v>
      </c>
    </row>
    <row r="346" spans="1:5">
      <c r="A346" t="s">
        <v>9</v>
      </c>
      <c r="B346" t="s">
        <v>51</v>
      </c>
      <c r="C346">
        <v>34</v>
      </c>
      <c r="D346">
        <v>10</v>
      </c>
      <c r="E346">
        <v>29.411764705882359</v>
      </c>
    </row>
    <row r="347" spans="1:5">
      <c r="A347" t="s">
        <v>9</v>
      </c>
      <c r="B347" t="s">
        <v>52</v>
      </c>
      <c r="C347">
        <v>34</v>
      </c>
      <c r="D347">
        <v>4</v>
      </c>
      <c r="E347">
        <v>11.76470588235294</v>
      </c>
    </row>
    <row r="348" spans="1:5">
      <c r="A348" t="s">
        <v>9</v>
      </c>
      <c r="B348" t="s">
        <v>53</v>
      </c>
      <c r="C348">
        <v>30</v>
      </c>
      <c r="D348">
        <v>6</v>
      </c>
      <c r="E348">
        <v>20</v>
      </c>
    </row>
    <row r="349" spans="1:5">
      <c r="A349" t="s">
        <v>9</v>
      </c>
      <c r="B349" t="s">
        <v>54</v>
      </c>
      <c r="C349">
        <v>29</v>
      </c>
      <c r="D349">
        <v>9</v>
      </c>
      <c r="E349">
        <v>31.03448275862069</v>
      </c>
    </row>
    <row r="350" spans="1:5">
      <c r="A350" t="s">
        <v>9</v>
      </c>
      <c r="B350" t="s">
        <v>55</v>
      </c>
      <c r="C350">
        <v>32</v>
      </c>
      <c r="D350">
        <v>2</v>
      </c>
      <c r="E350">
        <v>6.25</v>
      </c>
    </row>
    <row r="351" spans="1:5">
      <c r="A351" t="s">
        <v>9</v>
      </c>
      <c r="B351" t="s">
        <v>56</v>
      </c>
      <c r="C351">
        <v>20</v>
      </c>
      <c r="D351">
        <v>0</v>
      </c>
      <c r="E351">
        <v>0</v>
      </c>
    </row>
    <row r="352" spans="1:5">
      <c r="A352" t="s">
        <v>29</v>
      </c>
      <c r="B352" t="s">
        <v>57</v>
      </c>
      <c r="C352">
        <v>19</v>
      </c>
      <c r="D352">
        <v>0</v>
      </c>
      <c r="E352">
        <v>0</v>
      </c>
    </row>
    <row r="353" spans="1:5">
      <c r="A353" t="s">
        <v>29</v>
      </c>
      <c r="B353" t="s">
        <v>58</v>
      </c>
      <c r="C353">
        <v>1</v>
      </c>
      <c r="D353">
        <v>0</v>
      </c>
      <c r="E353">
        <v>0</v>
      </c>
    </row>
    <row r="354" spans="1:5">
      <c r="A354" t="s">
        <v>29</v>
      </c>
      <c r="B354" t="s">
        <v>37</v>
      </c>
      <c r="C354">
        <v>62</v>
      </c>
      <c r="D354">
        <v>2</v>
      </c>
      <c r="E354">
        <v>3.225806451612903</v>
      </c>
    </row>
    <row r="355" spans="1:5">
      <c r="A355" t="s">
        <v>29</v>
      </c>
      <c r="B355" t="s">
        <v>38</v>
      </c>
      <c r="C355">
        <v>110</v>
      </c>
      <c r="D355">
        <v>3</v>
      </c>
      <c r="E355">
        <v>2.7272727272727271</v>
      </c>
    </row>
    <row r="356" spans="1:5">
      <c r="A356" t="s">
        <v>29</v>
      </c>
      <c r="B356" t="s">
        <v>39</v>
      </c>
      <c r="C356">
        <v>121</v>
      </c>
      <c r="D356">
        <v>5</v>
      </c>
      <c r="E356">
        <v>4.1322314049586781</v>
      </c>
    </row>
    <row r="357" spans="1:5">
      <c r="A357" t="s">
        <v>29</v>
      </c>
      <c r="B357" t="s">
        <v>40</v>
      </c>
      <c r="C357">
        <v>112</v>
      </c>
      <c r="D357">
        <v>3</v>
      </c>
      <c r="E357">
        <v>2.6785714285714279</v>
      </c>
    </row>
    <row r="358" spans="1:5">
      <c r="A358" t="s">
        <v>29</v>
      </c>
      <c r="B358" t="s">
        <v>41</v>
      </c>
      <c r="C358">
        <v>206</v>
      </c>
      <c r="D358">
        <v>2</v>
      </c>
      <c r="E358">
        <v>0.97087378640776678</v>
      </c>
    </row>
    <row r="359" spans="1:5">
      <c r="A359" t="s">
        <v>29</v>
      </c>
      <c r="B359" t="s">
        <v>42</v>
      </c>
      <c r="C359">
        <v>167</v>
      </c>
      <c r="D359">
        <v>2</v>
      </c>
      <c r="E359">
        <v>1.197604790419162</v>
      </c>
    </row>
    <row r="360" spans="1:5">
      <c r="A360" t="s">
        <v>29</v>
      </c>
      <c r="B360" t="s">
        <v>43</v>
      </c>
      <c r="C360">
        <v>195</v>
      </c>
      <c r="D360">
        <v>1</v>
      </c>
      <c r="E360">
        <v>0.51282051282051277</v>
      </c>
    </row>
    <row r="361" spans="1:5">
      <c r="A361" t="s">
        <v>29</v>
      </c>
      <c r="B361" t="s">
        <v>44</v>
      </c>
      <c r="C361">
        <v>220</v>
      </c>
      <c r="D361">
        <v>0</v>
      </c>
      <c r="E361">
        <v>0</v>
      </c>
    </row>
    <row r="362" spans="1:5">
      <c r="A362" t="s">
        <v>29</v>
      </c>
      <c r="B362" t="s">
        <v>45</v>
      </c>
      <c r="C362">
        <v>176</v>
      </c>
      <c r="D362">
        <v>1</v>
      </c>
      <c r="E362">
        <v>0.56818181818181823</v>
      </c>
    </row>
    <row r="363" spans="1:5">
      <c r="A363" t="s">
        <v>29</v>
      </c>
      <c r="B363" t="s">
        <v>46</v>
      </c>
      <c r="C363">
        <v>198</v>
      </c>
      <c r="D363">
        <v>6</v>
      </c>
      <c r="E363">
        <v>3.0303030303030298</v>
      </c>
    </row>
    <row r="364" spans="1:5">
      <c r="A364" t="s">
        <v>29</v>
      </c>
      <c r="B364" t="s">
        <v>47</v>
      </c>
      <c r="C364">
        <v>365</v>
      </c>
      <c r="D364">
        <v>32</v>
      </c>
      <c r="E364">
        <v>8.7671232876712324</v>
      </c>
    </row>
    <row r="365" spans="1:5">
      <c r="A365" t="s">
        <v>29</v>
      </c>
      <c r="B365" t="s">
        <v>48</v>
      </c>
      <c r="C365">
        <v>260</v>
      </c>
      <c r="D365">
        <v>13</v>
      </c>
      <c r="E365">
        <v>5</v>
      </c>
    </row>
    <row r="366" spans="1:5">
      <c r="A366" t="s">
        <v>29</v>
      </c>
      <c r="B366" t="s">
        <v>49</v>
      </c>
      <c r="C366">
        <v>371</v>
      </c>
      <c r="D366">
        <v>6</v>
      </c>
      <c r="E366">
        <v>1.617250673854447</v>
      </c>
    </row>
    <row r="367" spans="1:5">
      <c r="A367" t="s">
        <v>29</v>
      </c>
      <c r="B367" t="s">
        <v>50</v>
      </c>
      <c r="C367">
        <v>335</v>
      </c>
      <c r="D367">
        <v>30</v>
      </c>
      <c r="E367">
        <v>8.9552238805970141</v>
      </c>
    </row>
    <row r="368" spans="1:5">
      <c r="A368" t="s">
        <v>29</v>
      </c>
      <c r="B368" t="s">
        <v>51</v>
      </c>
      <c r="C368">
        <v>369</v>
      </c>
      <c r="D368">
        <v>49</v>
      </c>
      <c r="E368">
        <v>13.27913279132791</v>
      </c>
    </row>
    <row r="369" spans="1:5">
      <c r="A369" t="s">
        <v>29</v>
      </c>
      <c r="B369" t="s">
        <v>52</v>
      </c>
      <c r="C369">
        <v>381</v>
      </c>
      <c r="D369">
        <v>5</v>
      </c>
      <c r="E369">
        <v>1.3123359580052489</v>
      </c>
    </row>
    <row r="370" spans="1:5">
      <c r="A370" t="s">
        <v>29</v>
      </c>
      <c r="B370" t="s">
        <v>53</v>
      </c>
      <c r="C370">
        <v>308</v>
      </c>
      <c r="D370">
        <v>23</v>
      </c>
      <c r="E370">
        <v>7.4675324675324672</v>
      </c>
    </row>
    <row r="371" spans="1:5">
      <c r="A371" t="s">
        <v>29</v>
      </c>
      <c r="B371" t="s">
        <v>54</v>
      </c>
      <c r="C371">
        <v>306</v>
      </c>
      <c r="D371">
        <v>0</v>
      </c>
      <c r="E371">
        <v>0</v>
      </c>
    </row>
    <row r="372" spans="1:5">
      <c r="A372" t="s">
        <v>29</v>
      </c>
      <c r="B372" t="s">
        <v>55</v>
      </c>
      <c r="C372">
        <v>314</v>
      </c>
      <c r="D372">
        <v>6</v>
      </c>
      <c r="E372">
        <v>1.910828025477707</v>
      </c>
    </row>
    <row r="373" spans="1:5">
      <c r="A373" t="s">
        <v>29</v>
      </c>
      <c r="B373" t="s">
        <v>56</v>
      </c>
      <c r="C373">
        <v>327</v>
      </c>
      <c r="D373">
        <v>10</v>
      </c>
      <c r="E373">
        <v>3.0581039755351682</v>
      </c>
    </row>
    <row r="374" spans="1:5">
      <c r="A374" t="s">
        <v>15</v>
      </c>
      <c r="B374" t="s">
        <v>57</v>
      </c>
      <c r="C374">
        <v>40</v>
      </c>
      <c r="D374">
        <v>0</v>
      </c>
      <c r="E374">
        <v>0</v>
      </c>
    </row>
    <row r="375" spans="1:5">
      <c r="A375" t="s">
        <v>15</v>
      </c>
      <c r="B375" t="s">
        <v>37</v>
      </c>
      <c r="C375">
        <v>91</v>
      </c>
      <c r="D375">
        <v>3</v>
      </c>
      <c r="E375">
        <v>3.296703296703297</v>
      </c>
    </row>
    <row r="376" spans="1:5">
      <c r="A376" t="s">
        <v>15</v>
      </c>
      <c r="B376" t="s">
        <v>38</v>
      </c>
      <c r="C376">
        <v>230</v>
      </c>
      <c r="D376">
        <v>8</v>
      </c>
      <c r="E376">
        <v>3.4782608695652169</v>
      </c>
    </row>
    <row r="377" spans="1:5">
      <c r="A377" t="s">
        <v>15</v>
      </c>
      <c r="B377" t="s">
        <v>39</v>
      </c>
      <c r="C377">
        <v>370</v>
      </c>
      <c r="D377">
        <v>16</v>
      </c>
      <c r="E377">
        <v>4.3243243243243246</v>
      </c>
    </row>
    <row r="378" spans="1:5">
      <c r="A378" t="s">
        <v>15</v>
      </c>
      <c r="B378" t="s">
        <v>40</v>
      </c>
      <c r="C378">
        <v>325</v>
      </c>
      <c r="D378">
        <v>21</v>
      </c>
      <c r="E378">
        <v>6.4615384615384617</v>
      </c>
    </row>
    <row r="379" spans="1:5">
      <c r="A379" t="s">
        <v>15</v>
      </c>
      <c r="B379" t="s">
        <v>41</v>
      </c>
      <c r="C379">
        <v>466</v>
      </c>
      <c r="D379">
        <v>13</v>
      </c>
      <c r="E379">
        <v>2.7896995708154511</v>
      </c>
    </row>
    <row r="380" spans="1:5">
      <c r="A380" t="s">
        <v>15</v>
      </c>
      <c r="B380" t="s">
        <v>42</v>
      </c>
      <c r="C380">
        <v>399</v>
      </c>
      <c r="D380">
        <v>13</v>
      </c>
      <c r="E380">
        <v>3.2581453634085209</v>
      </c>
    </row>
    <row r="381" spans="1:5">
      <c r="A381" t="s">
        <v>15</v>
      </c>
      <c r="B381" t="s">
        <v>43</v>
      </c>
      <c r="C381">
        <v>547</v>
      </c>
      <c r="D381">
        <v>17</v>
      </c>
      <c r="E381">
        <v>3.1078610603290682</v>
      </c>
    </row>
    <row r="382" spans="1:5">
      <c r="A382" t="s">
        <v>15</v>
      </c>
      <c r="B382" t="s">
        <v>44</v>
      </c>
      <c r="C382">
        <v>537</v>
      </c>
      <c r="D382">
        <v>16</v>
      </c>
      <c r="E382">
        <v>2.9795158286778398</v>
      </c>
    </row>
    <row r="383" spans="1:5">
      <c r="A383" t="s">
        <v>15</v>
      </c>
      <c r="B383" t="s">
        <v>45</v>
      </c>
      <c r="C383">
        <v>591</v>
      </c>
      <c r="D383">
        <v>30</v>
      </c>
      <c r="E383">
        <v>5.0761421319796964</v>
      </c>
    </row>
    <row r="384" spans="1:5">
      <c r="A384" t="s">
        <v>15</v>
      </c>
      <c r="B384" t="s">
        <v>46</v>
      </c>
      <c r="C384">
        <v>654</v>
      </c>
      <c r="D384">
        <v>45</v>
      </c>
      <c r="E384">
        <v>6.8807339449541276</v>
      </c>
    </row>
    <row r="385" spans="1:5">
      <c r="A385" t="s">
        <v>15</v>
      </c>
      <c r="B385" t="s">
        <v>47</v>
      </c>
      <c r="C385">
        <v>1012</v>
      </c>
      <c r="D385">
        <v>263</v>
      </c>
      <c r="E385">
        <v>25.988142292490121</v>
      </c>
    </row>
    <row r="386" spans="1:5">
      <c r="A386" t="s">
        <v>15</v>
      </c>
      <c r="B386" t="s">
        <v>48</v>
      </c>
      <c r="C386">
        <v>746</v>
      </c>
      <c r="D386">
        <v>179</v>
      </c>
      <c r="E386">
        <v>23.99463806970509</v>
      </c>
    </row>
    <row r="387" spans="1:5">
      <c r="A387" t="s">
        <v>15</v>
      </c>
      <c r="B387" t="s">
        <v>49</v>
      </c>
      <c r="C387">
        <v>850</v>
      </c>
      <c r="D387">
        <v>111</v>
      </c>
      <c r="E387">
        <v>13.058823529411759</v>
      </c>
    </row>
    <row r="388" spans="1:5">
      <c r="A388" t="s">
        <v>15</v>
      </c>
      <c r="B388" t="s">
        <v>50</v>
      </c>
      <c r="C388">
        <v>879</v>
      </c>
      <c r="D388">
        <v>299</v>
      </c>
      <c r="E388">
        <v>34.015927189988624</v>
      </c>
    </row>
    <row r="389" spans="1:5">
      <c r="A389" t="s">
        <v>15</v>
      </c>
      <c r="B389" t="s">
        <v>51</v>
      </c>
      <c r="C389">
        <v>864</v>
      </c>
      <c r="D389">
        <v>298</v>
      </c>
      <c r="E389">
        <v>34.49074074074074</v>
      </c>
    </row>
    <row r="390" spans="1:5">
      <c r="A390" t="s">
        <v>15</v>
      </c>
      <c r="B390" t="s">
        <v>52</v>
      </c>
      <c r="C390">
        <v>807</v>
      </c>
      <c r="D390">
        <v>39</v>
      </c>
      <c r="E390">
        <v>4.8327137546468402</v>
      </c>
    </row>
    <row r="391" spans="1:5">
      <c r="A391" t="s">
        <v>15</v>
      </c>
      <c r="B391" t="s">
        <v>53</v>
      </c>
      <c r="C391">
        <v>816</v>
      </c>
      <c r="D391">
        <v>56</v>
      </c>
      <c r="E391">
        <v>6.8627450980392162</v>
      </c>
    </row>
    <row r="392" spans="1:5">
      <c r="A392" t="s">
        <v>15</v>
      </c>
      <c r="B392" t="s">
        <v>54</v>
      </c>
      <c r="C392">
        <v>707</v>
      </c>
      <c r="D392">
        <v>9</v>
      </c>
      <c r="E392">
        <v>1.272984441301273</v>
      </c>
    </row>
    <row r="393" spans="1:5">
      <c r="A393" t="s">
        <v>15</v>
      </c>
      <c r="B393" t="s">
        <v>55</v>
      </c>
      <c r="C393">
        <v>696</v>
      </c>
      <c r="D393">
        <v>17</v>
      </c>
      <c r="E393">
        <v>2.4425287356321839</v>
      </c>
    </row>
    <row r="394" spans="1:5">
      <c r="A394" t="s">
        <v>15</v>
      </c>
      <c r="B394" t="s">
        <v>56</v>
      </c>
      <c r="C394">
        <v>723</v>
      </c>
      <c r="D394">
        <v>42</v>
      </c>
      <c r="E394">
        <v>5.809128630705394</v>
      </c>
    </row>
    <row r="395" spans="1:5">
      <c r="A395" t="s">
        <v>26</v>
      </c>
      <c r="B395" t="s">
        <v>57</v>
      </c>
      <c r="C395">
        <v>4</v>
      </c>
      <c r="D395">
        <v>0</v>
      </c>
      <c r="E395">
        <v>0</v>
      </c>
    </row>
    <row r="396" spans="1:5">
      <c r="A396" t="s">
        <v>26</v>
      </c>
      <c r="B396" t="s">
        <v>37</v>
      </c>
      <c r="C396">
        <v>5</v>
      </c>
      <c r="D396">
        <v>0</v>
      </c>
      <c r="E396">
        <v>0</v>
      </c>
    </row>
    <row r="397" spans="1:5">
      <c r="A397" t="s">
        <v>26</v>
      </c>
      <c r="B397" t="s">
        <v>38</v>
      </c>
      <c r="C397">
        <v>8</v>
      </c>
      <c r="D397">
        <v>0</v>
      </c>
      <c r="E397">
        <v>0</v>
      </c>
    </row>
    <row r="398" spans="1:5">
      <c r="A398" t="s">
        <v>26</v>
      </c>
      <c r="B398" t="s">
        <v>39</v>
      </c>
      <c r="C398">
        <v>13</v>
      </c>
      <c r="D398">
        <v>3</v>
      </c>
      <c r="E398">
        <v>23.07692307692308</v>
      </c>
    </row>
    <row r="399" spans="1:5">
      <c r="A399" t="s">
        <v>26</v>
      </c>
      <c r="B399" t="s">
        <v>40</v>
      </c>
      <c r="C399">
        <v>10</v>
      </c>
      <c r="D399">
        <v>0</v>
      </c>
      <c r="E399">
        <v>0</v>
      </c>
    </row>
    <row r="400" spans="1:5">
      <c r="A400" t="s">
        <v>26</v>
      </c>
      <c r="B400" t="s">
        <v>41</v>
      </c>
      <c r="C400">
        <v>17</v>
      </c>
      <c r="D400">
        <v>0</v>
      </c>
      <c r="E400">
        <v>0</v>
      </c>
    </row>
    <row r="401" spans="1:5">
      <c r="A401" t="s">
        <v>26</v>
      </c>
      <c r="B401" t="s">
        <v>42</v>
      </c>
      <c r="C401">
        <v>12</v>
      </c>
      <c r="D401">
        <v>1</v>
      </c>
      <c r="E401">
        <v>8.3333333333333321</v>
      </c>
    </row>
    <row r="402" spans="1:5">
      <c r="A402" t="s">
        <v>26</v>
      </c>
      <c r="B402" t="s">
        <v>43</v>
      </c>
      <c r="C402">
        <v>27</v>
      </c>
      <c r="D402">
        <v>3</v>
      </c>
      <c r="E402">
        <v>11.111111111111111</v>
      </c>
    </row>
    <row r="403" spans="1:5">
      <c r="A403" t="s">
        <v>26</v>
      </c>
      <c r="B403" t="s">
        <v>44</v>
      </c>
      <c r="C403">
        <v>20</v>
      </c>
      <c r="D403">
        <v>2</v>
      </c>
      <c r="E403">
        <v>10</v>
      </c>
    </row>
    <row r="404" spans="1:5">
      <c r="A404" t="s">
        <v>26</v>
      </c>
      <c r="B404" t="s">
        <v>45</v>
      </c>
      <c r="C404">
        <v>23</v>
      </c>
      <c r="D404">
        <v>3</v>
      </c>
      <c r="E404">
        <v>13.043478260869559</v>
      </c>
    </row>
    <row r="405" spans="1:5">
      <c r="A405" t="s">
        <v>26</v>
      </c>
      <c r="B405" t="s">
        <v>46</v>
      </c>
      <c r="C405">
        <v>23</v>
      </c>
      <c r="D405">
        <v>1</v>
      </c>
      <c r="E405">
        <v>4.3478260869565224</v>
      </c>
    </row>
    <row r="406" spans="1:5">
      <c r="A406" t="s">
        <v>26</v>
      </c>
      <c r="B406" t="s">
        <v>47</v>
      </c>
      <c r="C406">
        <v>41</v>
      </c>
      <c r="D406">
        <v>8</v>
      </c>
      <c r="E406">
        <v>19.512195121951219</v>
      </c>
    </row>
    <row r="407" spans="1:5">
      <c r="A407" t="s">
        <v>26</v>
      </c>
      <c r="B407" t="s">
        <v>48</v>
      </c>
      <c r="C407">
        <v>30</v>
      </c>
      <c r="D407">
        <v>2</v>
      </c>
      <c r="E407">
        <v>6.666666666666667</v>
      </c>
    </row>
    <row r="408" spans="1:5">
      <c r="A408" t="s">
        <v>26</v>
      </c>
      <c r="B408" t="s">
        <v>49</v>
      </c>
      <c r="C408">
        <v>42</v>
      </c>
      <c r="D408">
        <v>1</v>
      </c>
      <c r="E408">
        <v>2.3809523809523809</v>
      </c>
    </row>
    <row r="409" spans="1:5">
      <c r="A409" t="s">
        <v>26</v>
      </c>
      <c r="B409" t="s">
        <v>50</v>
      </c>
      <c r="C409">
        <v>23</v>
      </c>
      <c r="D409">
        <v>2</v>
      </c>
      <c r="E409">
        <v>8.695652173913043</v>
      </c>
    </row>
    <row r="410" spans="1:5">
      <c r="A410" t="s">
        <v>26</v>
      </c>
      <c r="B410" t="s">
        <v>51</v>
      </c>
      <c r="C410">
        <v>38</v>
      </c>
      <c r="D410">
        <v>7</v>
      </c>
      <c r="E410">
        <v>18.421052631578949</v>
      </c>
    </row>
    <row r="411" spans="1:5">
      <c r="A411" t="s">
        <v>26</v>
      </c>
      <c r="B411" t="s">
        <v>52</v>
      </c>
      <c r="C411">
        <v>32</v>
      </c>
      <c r="D411">
        <v>10</v>
      </c>
      <c r="E411">
        <v>31.25</v>
      </c>
    </row>
    <row r="412" spans="1:5">
      <c r="A412" t="s">
        <v>26</v>
      </c>
      <c r="B412" t="s">
        <v>53</v>
      </c>
      <c r="C412">
        <v>22</v>
      </c>
      <c r="D412">
        <v>1</v>
      </c>
      <c r="E412">
        <v>4.5454545454545459</v>
      </c>
    </row>
    <row r="413" spans="1:5">
      <c r="A413" t="s">
        <v>26</v>
      </c>
      <c r="B413" t="s">
        <v>54</v>
      </c>
      <c r="C413">
        <v>35</v>
      </c>
      <c r="D413">
        <v>0</v>
      </c>
      <c r="E413">
        <v>0</v>
      </c>
    </row>
    <row r="414" spans="1:5">
      <c r="A414" t="s">
        <v>26</v>
      </c>
      <c r="B414" t="s">
        <v>55</v>
      </c>
      <c r="C414">
        <v>29</v>
      </c>
      <c r="D414">
        <v>0</v>
      </c>
      <c r="E414">
        <v>0</v>
      </c>
    </row>
    <row r="415" spans="1:5">
      <c r="A415" t="s">
        <v>26</v>
      </c>
      <c r="B415" t="s">
        <v>56</v>
      </c>
      <c r="C415">
        <v>20</v>
      </c>
      <c r="D415">
        <v>0</v>
      </c>
      <c r="E415">
        <v>0</v>
      </c>
    </row>
    <row r="416" spans="1:5">
      <c r="A416" t="s">
        <v>31</v>
      </c>
      <c r="B416" t="s">
        <v>37</v>
      </c>
      <c r="C416">
        <v>3</v>
      </c>
      <c r="D416">
        <v>0</v>
      </c>
      <c r="E416">
        <v>0</v>
      </c>
    </row>
    <row r="417" spans="1:5">
      <c r="A417" t="s">
        <v>31</v>
      </c>
      <c r="B417" t="s">
        <v>38</v>
      </c>
      <c r="C417">
        <v>9</v>
      </c>
      <c r="D417">
        <v>0</v>
      </c>
      <c r="E417">
        <v>0</v>
      </c>
    </row>
    <row r="418" spans="1:5">
      <c r="A418" t="s">
        <v>31</v>
      </c>
      <c r="B418" t="s">
        <v>39</v>
      </c>
      <c r="C418">
        <v>16</v>
      </c>
      <c r="D418">
        <v>2</v>
      </c>
      <c r="E418">
        <v>12.5</v>
      </c>
    </row>
    <row r="419" spans="1:5">
      <c r="A419" t="s">
        <v>31</v>
      </c>
      <c r="B419" t="s">
        <v>40</v>
      </c>
      <c r="C419">
        <v>7</v>
      </c>
      <c r="D419">
        <v>1</v>
      </c>
      <c r="E419">
        <v>14.285714285714279</v>
      </c>
    </row>
    <row r="420" spans="1:5">
      <c r="A420" t="s">
        <v>31</v>
      </c>
      <c r="B420" t="s">
        <v>41</v>
      </c>
      <c r="C420">
        <v>8</v>
      </c>
      <c r="D420">
        <v>0</v>
      </c>
      <c r="E420">
        <v>0</v>
      </c>
    </row>
    <row r="421" spans="1:5">
      <c r="A421" t="s">
        <v>31</v>
      </c>
      <c r="B421" t="s">
        <v>42</v>
      </c>
      <c r="C421">
        <v>10</v>
      </c>
      <c r="D421">
        <v>0</v>
      </c>
      <c r="E421">
        <v>0</v>
      </c>
    </row>
    <row r="422" spans="1:5">
      <c r="A422" t="s">
        <v>31</v>
      </c>
      <c r="B422" t="s">
        <v>43</v>
      </c>
      <c r="C422">
        <v>10</v>
      </c>
      <c r="D422">
        <v>0</v>
      </c>
      <c r="E422">
        <v>0</v>
      </c>
    </row>
    <row r="423" spans="1:5">
      <c r="A423" t="s">
        <v>31</v>
      </c>
      <c r="B423" t="s">
        <v>44</v>
      </c>
      <c r="C423">
        <v>14</v>
      </c>
      <c r="D423">
        <v>0</v>
      </c>
      <c r="E423">
        <v>0</v>
      </c>
    </row>
    <row r="424" spans="1:5">
      <c r="A424" t="s">
        <v>31</v>
      </c>
      <c r="B424" t="s">
        <v>45</v>
      </c>
      <c r="C424">
        <v>16</v>
      </c>
      <c r="D424">
        <v>0</v>
      </c>
      <c r="E424">
        <v>0</v>
      </c>
    </row>
    <row r="425" spans="1:5">
      <c r="A425" t="s">
        <v>31</v>
      </c>
      <c r="B425" t="s">
        <v>46</v>
      </c>
      <c r="C425">
        <v>13</v>
      </c>
      <c r="D425">
        <v>0</v>
      </c>
      <c r="E425">
        <v>0</v>
      </c>
    </row>
    <row r="426" spans="1:5">
      <c r="A426" t="s">
        <v>31</v>
      </c>
      <c r="B426" t="s">
        <v>47</v>
      </c>
      <c r="C426">
        <v>17</v>
      </c>
      <c r="D426">
        <v>0</v>
      </c>
      <c r="E426">
        <v>0</v>
      </c>
    </row>
    <row r="427" spans="1:5">
      <c r="A427" t="s">
        <v>31</v>
      </c>
      <c r="B427" t="s">
        <v>48</v>
      </c>
      <c r="C427">
        <v>11</v>
      </c>
      <c r="D427">
        <v>0</v>
      </c>
      <c r="E427">
        <v>0</v>
      </c>
    </row>
    <row r="428" spans="1:5">
      <c r="A428" t="s">
        <v>31</v>
      </c>
      <c r="B428" t="s">
        <v>49</v>
      </c>
      <c r="C428">
        <v>20</v>
      </c>
      <c r="D428">
        <v>1</v>
      </c>
      <c r="E428">
        <v>5</v>
      </c>
    </row>
    <row r="429" spans="1:5">
      <c r="A429" t="s">
        <v>31</v>
      </c>
      <c r="B429" t="s">
        <v>50</v>
      </c>
      <c r="C429">
        <v>13</v>
      </c>
      <c r="D429">
        <v>0</v>
      </c>
      <c r="E429">
        <v>0</v>
      </c>
    </row>
    <row r="430" spans="1:5">
      <c r="A430" t="s">
        <v>31</v>
      </c>
      <c r="B430" t="s">
        <v>51</v>
      </c>
      <c r="C430">
        <v>13</v>
      </c>
      <c r="D430">
        <v>3</v>
      </c>
      <c r="E430">
        <v>23.07692307692308</v>
      </c>
    </row>
    <row r="431" spans="1:5">
      <c r="A431" t="s">
        <v>31</v>
      </c>
      <c r="B431" t="s">
        <v>52</v>
      </c>
      <c r="C431">
        <v>11</v>
      </c>
      <c r="D431">
        <v>0</v>
      </c>
      <c r="E431">
        <v>0</v>
      </c>
    </row>
    <row r="432" spans="1:5">
      <c r="A432" t="s">
        <v>31</v>
      </c>
      <c r="B432" t="s">
        <v>53</v>
      </c>
      <c r="C432">
        <v>17</v>
      </c>
      <c r="D432">
        <v>0</v>
      </c>
      <c r="E432">
        <v>0</v>
      </c>
    </row>
    <row r="433" spans="1:5">
      <c r="A433" t="s">
        <v>31</v>
      </c>
      <c r="B433" t="s">
        <v>54</v>
      </c>
      <c r="C433">
        <v>11</v>
      </c>
      <c r="D433">
        <v>0</v>
      </c>
      <c r="E433">
        <v>0</v>
      </c>
    </row>
    <row r="434" spans="1:5">
      <c r="A434" t="s">
        <v>31</v>
      </c>
      <c r="B434" t="s">
        <v>55</v>
      </c>
      <c r="C434">
        <v>16</v>
      </c>
      <c r="D434">
        <v>0</v>
      </c>
      <c r="E434">
        <v>0</v>
      </c>
    </row>
    <row r="435" spans="1:5">
      <c r="A435" t="s">
        <v>31</v>
      </c>
      <c r="B435" t="s">
        <v>56</v>
      </c>
      <c r="C435">
        <v>8</v>
      </c>
      <c r="D435">
        <v>0</v>
      </c>
      <c r="E435">
        <v>0</v>
      </c>
    </row>
    <row r="436" spans="1:5">
      <c r="A436" t="s">
        <v>13</v>
      </c>
      <c r="B436" t="s">
        <v>57</v>
      </c>
      <c r="C436">
        <v>1</v>
      </c>
      <c r="D436">
        <v>0</v>
      </c>
      <c r="E436">
        <v>0</v>
      </c>
    </row>
    <row r="437" spans="1:5">
      <c r="A437" t="s">
        <v>13</v>
      </c>
      <c r="B437" t="s">
        <v>38</v>
      </c>
      <c r="C437">
        <v>2</v>
      </c>
      <c r="D437">
        <v>0</v>
      </c>
      <c r="E437">
        <v>0</v>
      </c>
    </row>
    <row r="438" spans="1:5">
      <c r="A438" t="s">
        <v>13</v>
      </c>
      <c r="B438" t="s">
        <v>39</v>
      </c>
      <c r="C438">
        <v>2</v>
      </c>
      <c r="D438">
        <v>1</v>
      </c>
      <c r="E438">
        <v>50</v>
      </c>
    </row>
    <row r="439" spans="1:5">
      <c r="A439" t="s">
        <v>13</v>
      </c>
      <c r="B439" t="s">
        <v>40</v>
      </c>
      <c r="C439">
        <v>2</v>
      </c>
      <c r="D439">
        <v>0</v>
      </c>
      <c r="E439">
        <v>0</v>
      </c>
    </row>
    <row r="440" spans="1:5">
      <c r="A440" t="s">
        <v>13</v>
      </c>
      <c r="B440" t="s">
        <v>41</v>
      </c>
      <c r="C440">
        <v>2</v>
      </c>
      <c r="D440">
        <v>0</v>
      </c>
      <c r="E440">
        <v>0</v>
      </c>
    </row>
    <row r="441" spans="1:5">
      <c r="A441" t="s">
        <v>13</v>
      </c>
      <c r="B441" t="s">
        <v>42</v>
      </c>
      <c r="C441">
        <v>3</v>
      </c>
      <c r="D441">
        <v>0</v>
      </c>
      <c r="E441">
        <v>0</v>
      </c>
    </row>
    <row r="442" spans="1:5">
      <c r="A442" t="s">
        <v>13</v>
      </c>
      <c r="B442" t="s">
        <v>43</v>
      </c>
      <c r="C442">
        <v>1</v>
      </c>
      <c r="D442">
        <v>0</v>
      </c>
      <c r="E442">
        <v>0</v>
      </c>
    </row>
    <row r="443" spans="1:5">
      <c r="A443" t="s">
        <v>13</v>
      </c>
      <c r="B443" t="s">
        <v>45</v>
      </c>
      <c r="C443">
        <v>1</v>
      </c>
      <c r="D443">
        <v>0</v>
      </c>
      <c r="E443">
        <v>0</v>
      </c>
    </row>
    <row r="444" spans="1:5">
      <c r="A444" t="s">
        <v>13</v>
      </c>
      <c r="B444" t="s">
        <v>46</v>
      </c>
      <c r="C444">
        <v>3</v>
      </c>
      <c r="D444">
        <v>1</v>
      </c>
      <c r="E444">
        <v>33.333333333333329</v>
      </c>
    </row>
    <row r="445" spans="1:5">
      <c r="A445" t="s">
        <v>13</v>
      </c>
      <c r="B445" t="s">
        <v>47</v>
      </c>
      <c r="C445">
        <v>2</v>
      </c>
      <c r="D445">
        <v>1</v>
      </c>
      <c r="E445">
        <v>50</v>
      </c>
    </row>
    <row r="446" spans="1:5">
      <c r="A446" t="s">
        <v>13</v>
      </c>
      <c r="B446" t="s">
        <v>49</v>
      </c>
      <c r="C446">
        <v>1</v>
      </c>
      <c r="D446">
        <v>0</v>
      </c>
      <c r="E446">
        <v>0</v>
      </c>
    </row>
    <row r="447" spans="1:5">
      <c r="A447" t="s">
        <v>13</v>
      </c>
      <c r="B447" t="s">
        <v>50</v>
      </c>
      <c r="C447">
        <v>3</v>
      </c>
      <c r="D447">
        <v>1</v>
      </c>
      <c r="E447">
        <v>33.333333333333329</v>
      </c>
    </row>
    <row r="448" spans="1:5">
      <c r="A448" t="s">
        <v>13</v>
      </c>
      <c r="B448" t="s">
        <v>51</v>
      </c>
      <c r="C448">
        <v>5</v>
      </c>
      <c r="D448">
        <v>0</v>
      </c>
      <c r="E448">
        <v>0</v>
      </c>
    </row>
    <row r="449" spans="1:5">
      <c r="A449" t="s">
        <v>13</v>
      </c>
      <c r="B449" t="s">
        <v>52</v>
      </c>
      <c r="C449">
        <v>2</v>
      </c>
      <c r="D449">
        <v>1</v>
      </c>
      <c r="E449">
        <v>50</v>
      </c>
    </row>
    <row r="450" spans="1:5">
      <c r="A450" t="s">
        <v>13</v>
      </c>
      <c r="B450" t="s">
        <v>53</v>
      </c>
      <c r="C450">
        <v>1</v>
      </c>
      <c r="D450">
        <v>0</v>
      </c>
      <c r="E450">
        <v>0</v>
      </c>
    </row>
    <row r="451" spans="1:5">
      <c r="A451" t="s">
        <v>13</v>
      </c>
      <c r="B451" t="s">
        <v>54</v>
      </c>
      <c r="C451">
        <v>5</v>
      </c>
      <c r="D451">
        <v>0</v>
      </c>
      <c r="E451">
        <v>0</v>
      </c>
    </row>
    <row r="452" spans="1:5">
      <c r="A452" t="s">
        <v>13</v>
      </c>
      <c r="B452" t="s">
        <v>55</v>
      </c>
      <c r="C452">
        <v>5</v>
      </c>
      <c r="D452">
        <v>0</v>
      </c>
      <c r="E452">
        <v>0</v>
      </c>
    </row>
    <row r="453" spans="1:5">
      <c r="A453" t="s">
        <v>28</v>
      </c>
      <c r="B453" t="s">
        <v>57</v>
      </c>
      <c r="C453">
        <v>17</v>
      </c>
      <c r="D453">
        <v>0</v>
      </c>
      <c r="E453">
        <v>0</v>
      </c>
    </row>
    <row r="454" spans="1:5">
      <c r="A454" t="s">
        <v>28</v>
      </c>
      <c r="B454" t="s">
        <v>37</v>
      </c>
      <c r="C454">
        <v>52</v>
      </c>
      <c r="D454">
        <v>1</v>
      </c>
      <c r="E454">
        <v>1.9230769230769229</v>
      </c>
    </row>
    <row r="455" spans="1:5">
      <c r="A455" t="s">
        <v>28</v>
      </c>
      <c r="B455" t="s">
        <v>38</v>
      </c>
      <c r="C455">
        <v>100</v>
      </c>
      <c r="D455">
        <v>3</v>
      </c>
      <c r="E455">
        <v>3</v>
      </c>
    </row>
    <row r="456" spans="1:5">
      <c r="A456" t="s">
        <v>28</v>
      </c>
      <c r="B456" t="s">
        <v>39</v>
      </c>
      <c r="C456">
        <v>144</v>
      </c>
      <c r="D456">
        <v>2</v>
      </c>
      <c r="E456">
        <v>1.3888888888888891</v>
      </c>
    </row>
    <row r="457" spans="1:5">
      <c r="A457" t="s">
        <v>28</v>
      </c>
      <c r="B457" t="s">
        <v>40</v>
      </c>
      <c r="C457">
        <v>132</v>
      </c>
      <c r="D457">
        <v>3</v>
      </c>
      <c r="E457">
        <v>2.2727272727272729</v>
      </c>
    </row>
    <row r="458" spans="1:5">
      <c r="A458" t="s">
        <v>28</v>
      </c>
      <c r="B458" t="s">
        <v>41</v>
      </c>
      <c r="C458">
        <v>205</v>
      </c>
      <c r="D458">
        <v>1</v>
      </c>
      <c r="E458">
        <v>0.48780487804878048</v>
      </c>
    </row>
    <row r="459" spans="1:5">
      <c r="A459" t="s">
        <v>28</v>
      </c>
      <c r="B459" t="s">
        <v>42</v>
      </c>
      <c r="C459">
        <v>215</v>
      </c>
      <c r="D459">
        <v>1</v>
      </c>
      <c r="E459">
        <v>0.46511627906976738</v>
      </c>
    </row>
    <row r="460" spans="1:5">
      <c r="A460" t="s">
        <v>28</v>
      </c>
      <c r="B460" t="s">
        <v>43</v>
      </c>
      <c r="C460">
        <v>242</v>
      </c>
      <c r="D460">
        <v>6</v>
      </c>
      <c r="E460">
        <v>2.4793388429752068</v>
      </c>
    </row>
    <row r="461" spans="1:5">
      <c r="A461" t="s">
        <v>28</v>
      </c>
      <c r="B461" t="s">
        <v>44</v>
      </c>
      <c r="C461">
        <v>296</v>
      </c>
      <c r="D461">
        <v>22</v>
      </c>
      <c r="E461">
        <v>7.4324324324324316</v>
      </c>
    </row>
    <row r="462" spans="1:5">
      <c r="A462" t="s">
        <v>28</v>
      </c>
      <c r="B462" t="s">
        <v>45</v>
      </c>
      <c r="C462">
        <v>273</v>
      </c>
      <c r="D462">
        <v>5</v>
      </c>
      <c r="E462">
        <v>1.8315018315018321</v>
      </c>
    </row>
    <row r="463" spans="1:5">
      <c r="A463" t="s">
        <v>28</v>
      </c>
      <c r="B463" t="s">
        <v>46</v>
      </c>
      <c r="C463">
        <v>244</v>
      </c>
      <c r="D463">
        <v>5</v>
      </c>
      <c r="E463">
        <v>2.0491803278688518</v>
      </c>
    </row>
    <row r="464" spans="1:5">
      <c r="A464" t="s">
        <v>28</v>
      </c>
      <c r="B464" t="s">
        <v>47</v>
      </c>
      <c r="C464">
        <v>409</v>
      </c>
      <c r="D464">
        <v>52</v>
      </c>
      <c r="E464">
        <v>12.713936430317849</v>
      </c>
    </row>
    <row r="465" spans="1:5">
      <c r="A465" t="s">
        <v>28</v>
      </c>
      <c r="B465" t="s">
        <v>48</v>
      </c>
      <c r="C465">
        <v>278</v>
      </c>
      <c r="D465">
        <v>28</v>
      </c>
      <c r="E465">
        <v>10.07194244604316</v>
      </c>
    </row>
    <row r="466" spans="1:5">
      <c r="A466" t="s">
        <v>28</v>
      </c>
      <c r="B466" t="s">
        <v>49</v>
      </c>
      <c r="C466">
        <v>367</v>
      </c>
      <c r="D466">
        <v>30</v>
      </c>
      <c r="E466">
        <v>8.1743869209809272</v>
      </c>
    </row>
    <row r="467" spans="1:5">
      <c r="A467" t="s">
        <v>28</v>
      </c>
      <c r="B467" t="s">
        <v>50</v>
      </c>
      <c r="C467">
        <v>363</v>
      </c>
      <c r="D467">
        <v>48</v>
      </c>
      <c r="E467">
        <v>13.223140495867771</v>
      </c>
    </row>
    <row r="468" spans="1:5">
      <c r="A468" t="s">
        <v>28</v>
      </c>
      <c r="B468" t="s">
        <v>51</v>
      </c>
      <c r="C468">
        <v>407</v>
      </c>
      <c r="D468">
        <v>78</v>
      </c>
      <c r="E468">
        <v>19.164619164619161</v>
      </c>
    </row>
    <row r="469" spans="1:5">
      <c r="A469" t="s">
        <v>28</v>
      </c>
      <c r="B469" t="s">
        <v>52</v>
      </c>
      <c r="C469">
        <v>345</v>
      </c>
      <c r="D469">
        <v>12</v>
      </c>
      <c r="E469">
        <v>3.4782608695652169</v>
      </c>
    </row>
    <row r="470" spans="1:5">
      <c r="A470" t="s">
        <v>28</v>
      </c>
      <c r="B470" t="s">
        <v>53</v>
      </c>
      <c r="C470">
        <v>350</v>
      </c>
      <c r="D470">
        <v>10</v>
      </c>
      <c r="E470">
        <v>2.8571428571428572</v>
      </c>
    </row>
    <row r="471" spans="1:5">
      <c r="A471" t="s">
        <v>28</v>
      </c>
      <c r="B471" t="s">
        <v>54</v>
      </c>
      <c r="C471">
        <v>304</v>
      </c>
      <c r="D471">
        <v>4</v>
      </c>
      <c r="E471">
        <v>1.31578947368421</v>
      </c>
    </row>
    <row r="472" spans="1:5">
      <c r="A472" t="s">
        <v>28</v>
      </c>
      <c r="B472" t="s">
        <v>55</v>
      </c>
      <c r="C472">
        <v>308</v>
      </c>
      <c r="D472">
        <v>5</v>
      </c>
      <c r="E472">
        <v>1.6233766233766229</v>
      </c>
    </row>
    <row r="473" spans="1:5">
      <c r="A473" t="s">
        <v>28</v>
      </c>
      <c r="B473" t="s">
        <v>56</v>
      </c>
      <c r="C473">
        <v>293</v>
      </c>
      <c r="D473">
        <v>9</v>
      </c>
      <c r="E473">
        <v>3.071672354948805</v>
      </c>
    </row>
    <row r="474" spans="1:5">
      <c r="A474" t="s">
        <v>27</v>
      </c>
      <c r="B474" t="s">
        <v>57</v>
      </c>
      <c r="C474">
        <v>9</v>
      </c>
      <c r="D474">
        <v>0</v>
      </c>
      <c r="E474">
        <v>0</v>
      </c>
    </row>
    <row r="475" spans="1:5">
      <c r="A475" t="s">
        <v>27</v>
      </c>
      <c r="B475" t="s">
        <v>37</v>
      </c>
      <c r="C475">
        <v>26</v>
      </c>
      <c r="D475">
        <v>1</v>
      </c>
      <c r="E475">
        <v>3.8461538461538458</v>
      </c>
    </row>
    <row r="476" spans="1:5">
      <c r="A476" t="s">
        <v>27</v>
      </c>
      <c r="B476" t="s">
        <v>38</v>
      </c>
      <c r="C476">
        <v>57</v>
      </c>
      <c r="D476">
        <v>3</v>
      </c>
      <c r="E476">
        <v>5.2631578947368416</v>
      </c>
    </row>
    <row r="477" spans="1:5">
      <c r="A477" t="s">
        <v>27</v>
      </c>
      <c r="B477" t="s">
        <v>39</v>
      </c>
      <c r="C477">
        <v>104</v>
      </c>
      <c r="D477">
        <v>19</v>
      </c>
      <c r="E477">
        <v>18.26923076923077</v>
      </c>
    </row>
    <row r="478" spans="1:5">
      <c r="A478" t="s">
        <v>27</v>
      </c>
      <c r="B478" t="s">
        <v>40</v>
      </c>
      <c r="C478">
        <v>100</v>
      </c>
      <c r="D478">
        <v>9</v>
      </c>
      <c r="E478">
        <v>9</v>
      </c>
    </row>
    <row r="479" spans="1:5">
      <c r="A479" t="s">
        <v>27</v>
      </c>
      <c r="B479" t="s">
        <v>41</v>
      </c>
      <c r="C479">
        <v>146</v>
      </c>
      <c r="D479">
        <v>7</v>
      </c>
      <c r="E479">
        <v>4.7945205479452051</v>
      </c>
    </row>
    <row r="480" spans="1:5">
      <c r="A480" t="s">
        <v>27</v>
      </c>
      <c r="B480" t="s">
        <v>42</v>
      </c>
      <c r="C480">
        <v>109</v>
      </c>
      <c r="D480">
        <v>4</v>
      </c>
      <c r="E480">
        <v>3.669724770642202</v>
      </c>
    </row>
    <row r="481" spans="1:5">
      <c r="A481" t="s">
        <v>27</v>
      </c>
      <c r="B481" t="s">
        <v>43</v>
      </c>
      <c r="C481">
        <v>152</v>
      </c>
      <c r="D481">
        <v>7</v>
      </c>
      <c r="E481">
        <v>4.6052631578947363</v>
      </c>
    </row>
    <row r="482" spans="1:5">
      <c r="A482" t="s">
        <v>27</v>
      </c>
      <c r="B482" t="s">
        <v>44</v>
      </c>
      <c r="C482">
        <v>152</v>
      </c>
      <c r="D482">
        <v>4</v>
      </c>
      <c r="E482">
        <v>2.6315789473684208</v>
      </c>
    </row>
    <row r="483" spans="1:5">
      <c r="A483" t="s">
        <v>27</v>
      </c>
      <c r="B483" t="s">
        <v>45</v>
      </c>
      <c r="C483">
        <v>153</v>
      </c>
      <c r="D483">
        <v>11</v>
      </c>
      <c r="E483">
        <v>7.18954248366013</v>
      </c>
    </row>
    <row r="484" spans="1:5">
      <c r="A484" t="s">
        <v>27</v>
      </c>
      <c r="B484" t="s">
        <v>46</v>
      </c>
      <c r="C484">
        <v>174</v>
      </c>
      <c r="D484">
        <v>8</v>
      </c>
      <c r="E484">
        <v>4.5977011494252871</v>
      </c>
    </row>
    <row r="485" spans="1:5">
      <c r="A485" t="s">
        <v>27</v>
      </c>
      <c r="B485" t="s">
        <v>47</v>
      </c>
      <c r="C485">
        <v>288</v>
      </c>
      <c r="D485">
        <v>43</v>
      </c>
      <c r="E485">
        <v>14.930555555555561</v>
      </c>
    </row>
    <row r="486" spans="1:5">
      <c r="A486" t="s">
        <v>27</v>
      </c>
      <c r="B486" t="s">
        <v>48</v>
      </c>
      <c r="C486">
        <v>192</v>
      </c>
      <c r="D486">
        <v>8</v>
      </c>
      <c r="E486">
        <v>4.1666666666666661</v>
      </c>
    </row>
    <row r="487" spans="1:5">
      <c r="A487" t="s">
        <v>27</v>
      </c>
      <c r="B487" t="s">
        <v>49</v>
      </c>
      <c r="C487">
        <v>311</v>
      </c>
      <c r="D487">
        <v>31</v>
      </c>
      <c r="E487">
        <v>9.9678456591639879</v>
      </c>
    </row>
    <row r="488" spans="1:5">
      <c r="A488" t="s">
        <v>27</v>
      </c>
      <c r="B488" t="s">
        <v>50</v>
      </c>
      <c r="C488">
        <v>254</v>
      </c>
      <c r="D488">
        <v>61</v>
      </c>
      <c r="E488">
        <v>24.015748031496059</v>
      </c>
    </row>
    <row r="489" spans="1:5">
      <c r="A489" t="s">
        <v>27</v>
      </c>
      <c r="B489" t="s">
        <v>51</v>
      </c>
      <c r="C489">
        <v>247</v>
      </c>
      <c r="D489">
        <v>48</v>
      </c>
      <c r="E489">
        <v>19.4331983805668</v>
      </c>
    </row>
    <row r="490" spans="1:5">
      <c r="A490" t="s">
        <v>27</v>
      </c>
      <c r="B490" t="s">
        <v>52</v>
      </c>
      <c r="C490">
        <v>245</v>
      </c>
      <c r="D490">
        <v>5</v>
      </c>
      <c r="E490">
        <v>2.0408163265306118</v>
      </c>
    </row>
    <row r="491" spans="1:5">
      <c r="A491" t="s">
        <v>27</v>
      </c>
      <c r="B491" t="s">
        <v>53</v>
      </c>
      <c r="C491">
        <v>226</v>
      </c>
      <c r="D491">
        <v>12</v>
      </c>
      <c r="E491">
        <v>5.3097345132743374</v>
      </c>
    </row>
    <row r="492" spans="1:5">
      <c r="A492" t="s">
        <v>27</v>
      </c>
      <c r="B492" t="s">
        <v>54</v>
      </c>
      <c r="C492">
        <v>205</v>
      </c>
      <c r="D492">
        <v>0</v>
      </c>
      <c r="E492">
        <v>0</v>
      </c>
    </row>
    <row r="493" spans="1:5">
      <c r="A493" t="s">
        <v>27</v>
      </c>
      <c r="B493" t="s">
        <v>55</v>
      </c>
      <c r="C493">
        <v>195</v>
      </c>
      <c r="D493">
        <v>4</v>
      </c>
      <c r="E493">
        <v>2.0512820512820511</v>
      </c>
    </row>
    <row r="494" spans="1:5">
      <c r="A494" t="s">
        <v>27</v>
      </c>
      <c r="B494" t="s">
        <v>56</v>
      </c>
      <c r="C494">
        <v>201</v>
      </c>
      <c r="D494">
        <v>6</v>
      </c>
      <c r="E494">
        <v>2.9850746268656718</v>
      </c>
    </row>
    <row r="495" spans="1:5">
      <c r="A495" t="s">
        <v>8</v>
      </c>
      <c r="B495" t="s">
        <v>57</v>
      </c>
      <c r="C495">
        <v>3</v>
      </c>
      <c r="D495">
        <v>0</v>
      </c>
      <c r="E495">
        <v>0</v>
      </c>
    </row>
    <row r="496" spans="1:5">
      <c r="A496" t="s">
        <v>8</v>
      </c>
      <c r="B496" t="s">
        <v>37</v>
      </c>
      <c r="C496">
        <v>4</v>
      </c>
      <c r="D496">
        <v>0</v>
      </c>
      <c r="E496">
        <v>0</v>
      </c>
    </row>
    <row r="497" spans="1:5">
      <c r="A497" t="s">
        <v>8</v>
      </c>
      <c r="B497" t="s">
        <v>38</v>
      </c>
      <c r="C497">
        <v>12</v>
      </c>
      <c r="D497">
        <v>0</v>
      </c>
      <c r="E497">
        <v>0</v>
      </c>
    </row>
    <row r="498" spans="1:5">
      <c r="A498" t="s">
        <v>8</v>
      </c>
      <c r="B498" t="s">
        <v>39</v>
      </c>
      <c r="C498">
        <v>22</v>
      </c>
      <c r="D498">
        <v>3</v>
      </c>
      <c r="E498">
        <v>13.63636363636364</v>
      </c>
    </row>
    <row r="499" spans="1:5">
      <c r="A499" t="s">
        <v>8</v>
      </c>
      <c r="B499" t="s">
        <v>40</v>
      </c>
      <c r="C499">
        <v>13</v>
      </c>
      <c r="D499">
        <v>4</v>
      </c>
      <c r="E499">
        <v>30.76923076923077</v>
      </c>
    </row>
    <row r="500" spans="1:5">
      <c r="A500" t="s">
        <v>8</v>
      </c>
      <c r="B500" t="s">
        <v>41</v>
      </c>
      <c r="C500">
        <v>11</v>
      </c>
      <c r="D500">
        <v>0</v>
      </c>
      <c r="E500">
        <v>0</v>
      </c>
    </row>
    <row r="501" spans="1:5">
      <c r="A501" t="s">
        <v>8</v>
      </c>
      <c r="B501" t="s">
        <v>42</v>
      </c>
      <c r="C501">
        <v>8</v>
      </c>
      <c r="D501">
        <v>0</v>
      </c>
      <c r="E501">
        <v>0</v>
      </c>
    </row>
    <row r="502" spans="1:5">
      <c r="A502" t="s">
        <v>8</v>
      </c>
      <c r="B502" t="s">
        <v>43</v>
      </c>
      <c r="C502">
        <v>13</v>
      </c>
      <c r="D502">
        <v>0</v>
      </c>
      <c r="E502">
        <v>0</v>
      </c>
    </row>
    <row r="503" spans="1:5">
      <c r="A503" t="s">
        <v>8</v>
      </c>
      <c r="B503" t="s">
        <v>44</v>
      </c>
      <c r="C503">
        <v>19</v>
      </c>
      <c r="D503">
        <v>2</v>
      </c>
      <c r="E503">
        <v>10.52631578947368</v>
      </c>
    </row>
    <row r="504" spans="1:5">
      <c r="A504" t="s">
        <v>8</v>
      </c>
      <c r="B504" t="s">
        <v>45</v>
      </c>
      <c r="C504">
        <v>16</v>
      </c>
      <c r="D504">
        <v>2</v>
      </c>
      <c r="E504">
        <v>12.5</v>
      </c>
    </row>
    <row r="505" spans="1:5">
      <c r="A505" t="s">
        <v>8</v>
      </c>
      <c r="B505" t="s">
        <v>46</v>
      </c>
      <c r="C505">
        <v>22</v>
      </c>
      <c r="D505">
        <v>6</v>
      </c>
      <c r="E505">
        <v>27.27272727272727</v>
      </c>
    </row>
    <row r="506" spans="1:5">
      <c r="A506" t="s">
        <v>8</v>
      </c>
      <c r="B506" t="s">
        <v>47</v>
      </c>
      <c r="C506">
        <v>26</v>
      </c>
      <c r="D506">
        <v>7</v>
      </c>
      <c r="E506">
        <v>26.92307692307692</v>
      </c>
    </row>
    <row r="507" spans="1:5">
      <c r="A507" t="s">
        <v>8</v>
      </c>
      <c r="B507" t="s">
        <v>48</v>
      </c>
      <c r="C507">
        <v>20</v>
      </c>
      <c r="D507">
        <v>3</v>
      </c>
      <c r="E507">
        <v>15</v>
      </c>
    </row>
    <row r="508" spans="1:5">
      <c r="A508" t="s">
        <v>8</v>
      </c>
      <c r="B508" t="s">
        <v>49</v>
      </c>
      <c r="C508">
        <v>19</v>
      </c>
      <c r="D508">
        <v>1</v>
      </c>
      <c r="E508">
        <v>5.2631578947368416</v>
      </c>
    </row>
    <row r="509" spans="1:5">
      <c r="A509" t="s">
        <v>8</v>
      </c>
      <c r="B509" t="s">
        <v>50</v>
      </c>
      <c r="C509">
        <v>15</v>
      </c>
      <c r="D509">
        <v>2</v>
      </c>
      <c r="E509">
        <v>13.33333333333333</v>
      </c>
    </row>
    <row r="510" spans="1:5">
      <c r="A510" t="s">
        <v>8</v>
      </c>
      <c r="B510" t="s">
        <v>51</v>
      </c>
      <c r="C510">
        <v>17</v>
      </c>
      <c r="D510">
        <v>11</v>
      </c>
      <c r="E510">
        <v>64.705882352941174</v>
      </c>
    </row>
    <row r="511" spans="1:5">
      <c r="A511" t="s">
        <v>8</v>
      </c>
      <c r="B511" t="s">
        <v>52</v>
      </c>
      <c r="C511">
        <v>13</v>
      </c>
      <c r="D511">
        <v>6</v>
      </c>
      <c r="E511">
        <v>46.153846153846153</v>
      </c>
    </row>
    <row r="512" spans="1:5">
      <c r="A512" t="s">
        <v>8</v>
      </c>
      <c r="B512" t="s">
        <v>53</v>
      </c>
      <c r="C512">
        <v>8</v>
      </c>
      <c r="D512">
        <v>2</v>
      </c>
      <c r="E512">
        <v>25</v>
      </c>
    </row>
    <row r="513" spans="1:5">
      <c r="A513" t="s">
        <v>8</v>
      </c>
      <c r="B513" t="s">
        <v>54</v>
      </c>
      <c r="C513">
        <v>25</v>
      </c>
      <c r="D513">
        <v>0</v>
      </c>
      <c r="E513">
        <v>0</v>
      </c>
    </row>
    <row r="514" spans="1:5">
      <c r="A514" t="s">
        <v>8</v>
      </c>
      <c r="B514" t="s">
        <v>55</v>
      </c>
      <c r="C514">
        <v>26</v>
      </c>
      <c r="D514">
        <v>2</v>
      </c>
      <c r="E514">
        <v>7.6923076923076934</v>
      </c>
    </row>
    <row r="515" spans="1:5">
      <c r="A515" t="s">
        <v>8</v>
      </c>
      <c r="B515" t="s">
        <v>56</v>
      </c>
      <c r="C515">
        <v>23</v>
      </c>
      <c r="D515">
        <v>0</v>
      </c>
      <c r="E515">
        <v>0</v>
      </c>
    </row>
    <row r="516" spans="1:5">
      <c r="A516" t="s">
        <v>30</v>
      </c>
      <c r="B516" t="s">
        <v>59</v>
      </c>
      <c r="C516">
        <v>1</v>
      </c>
      <c r="D516">
        <v>1</v>
      </c>
      <c r="E516">
        <v>100</v>
      </c>
    </row>
    <row r="517" spans="1:5">
      <c r="A517" t="s">
        <v>30</v>
      </c>
      <c r="B517" t="s">
        <v>57</v>
      </c>
      <c r="C517">
        <v>94</v>
      </c>
      <c r="D517">
        <v>2</v>
      </c>
      <c r="E517">
        <v>2.1276595744680851</v>
      </c>
    </row>
    <row r="518" spans="1:5">
      <c r="A518" t="s">
        <v>30</v>
      </c>
      <c r="B518" t="s">
        <v>37</v>
      </c>
      <c r="C518">
        <v>283</v>
      </c>
      <c r="D518">
        <v>8</v>
      </c>
      <c r="E518">
        <v>2.8268551236749122</v>
      </c>
    </row>
    <row r="519" spans="1:5">
      <c r="A519" t="s">
        <v>30</v>
      </c>
      <c r="B519" t="s">
        <v>38</v>
      </c>
      <c r="C519">
        <v>601</v>
      </c>
      <c r="D519">
        <v>18</v>
      </c>
      <c r="E519">
        <v>2.9950083194675541</v>
      </c>
    </row>
    <row r="520" spans="1:5">
      <c r="A520" t="s">
        <v>30</v>
      </c>
      <c r="B520" t="s">
        <v>39</v>
      </c>
      <c r="C520">
        <v>966</v>
      </c>
      <c r="D520">
        <v>22</v>
      </c>
      <c r="E520">
        <v>2.2774327122153211</v>
      </c>
    </row>
    <row r="521" spans="1:5">
      <c r="A521" t="s">
        <v>30</v>
      </c>
      <c r="B521" t="s">
        <v>40</v>
      </c>
      <c r="C521">
        <v>873</v>
      </c>
      <c r="D521">
        <v>61</v>
      </c>
      <c r="E521">
        <v>6.9873997709049256</v>
      </c>
    </row>
    <row r="522" spans="1:5">
      <c r="A522" t="s">
        <v>30</v>
      </c>
      <c r="B522" t="s">
        <v>41</v>
      </c>
      <c r="C522">
        <v>1363</v>
      </c>
      <c r="D522">
        <v>58</v>
      </c>
      <c r="E522">
        <v>4.2553191489361701</v>
      </c>
    </row>
    <row r="523" spans="1:5">
      <c r="A523" t="s">
        <v>30</v>
      </c>
      <c r="B523" t="s">
        <v>42</v>
      </c>
      <c r="C523">
        <v>1284</v>
      </c>
      <c r="D523">
        <v>42</v>
      </c>
      <c r="E523">
        <v>3.2710280373831768</v>
      </c>
    </row>
    <row r="524" spans="1:5">
      <c r="A524" t="s">
        <v>30</v>
      </c>
      <c r="B524" t="s">
        <v>43</v>
      </c>
      <c r="C524">
        <v>1543</v>
      </c>
      <c r="D524">
        <v>28</v>
      </c>
      <c r="E524">
        <v>1.814646791963707</v>
      </c>
    </row>
    <row r="525" spans="1:5">
      <c r="A525" t="s">
        <v>30</v>
      </c>
      <c r="B525" t="s">
        <v>44</v>
      </c>
      <c r="C525">
        <v>1665</v>
      </c>
      <c r="D525">
        <v>34</v>
      </c>
      <c r="E525">
        <v>2.0420420420420422</v>
      </c>
    </row>
    <row r="526" spans="1:5">
      <c r="A526" t="s">
        <v>30</v>
      </c>
      <c r="B526" t="s">
        <v>45</v>
      </c>
      <c r="C526">
        <v>1576</v>
      </c>
      <c r="D526">
        <v>49</v>
      </c>
      <c r="E526">
        <v>3.1091370558375639</v>
      </c>
    </row>
    <row r="527" spans="1:5">
      <c r="A527" t="s">
        <v>30</v>
      </c>
      <c r="B527" t="s">
        <v>46</v>
      </c>
      <c r="C527">
        <v>1723</v>
      </c>
      <c r="D527">
        <v>56</v>
      </c>
      <c r="E527">
        <v>3.2501450957632039</v>
      </c>
    </row>
    <row r="528" spans="1:5">
      <c r="A528" t="s">
        <v>30</v>
      </c>
      <c r="B528" t="s">
        <v>47</v>
      </c>
      <c r="C528">
        <v>2898</v>
      </c>
      <c r="D528">
        <v>202</v>
      </c>
      <c r="E528">
        <v>6.9703243616287089</v>
      </c>
    </row>
    <row r="529" spans="1:5">
      <c r="A529" t="s">
        <v>30</v>
      </c>
      <c r="B529" t="s">
        <v>48</v>
      </c>
      <c r="C529">
        <v>2295</v>
      </c>
      <c r="D529">
        <v>72</v>
      </c>
      <c r="E529">
        <v>3.1372549019607838</v>
      </c>
    </row>
    <row r="530" spans="1:5">
      <c r="A530" t="s">
        <v>30</v>
      </c>
      <c r="B530" t="s">
        <v>49</v>
      </c>
      <c r="C530">
        <v>2975</v>
      </c>
      <c r="D530">
        <v>102</v>
      </c>
      <c r="E530">
        <v>3.4285714285714288</v>
      </c>
    </row>
    <row r="531" spans="1:5">
      <c r="A531" t="s">
        <v>30</v>
      </c>
      <c r="B531" t="s">
        <v>50</v>
      </c>
      <c r="C531">
        <v>2632</v>
      </c>
      <c r="D531">
        <v>193</v>
      </c>
      <c r="E531">
        <v>7.3328267477203646</v>
      </c>
    </row>
    <row r="532" spans="1:5">
      <c r="A532" t="s">
        <v>30</v>
      </c>
      <c r="B532" t="s">
        <v>51</v>
      </c>
      <c r="C532">
        <v>2971</v>
      </c>
      <c r="D532">
        <v>280</v>
      </c>
      <c r="E532">
        <v>9.4244362167620324</v>
      </c>
    </row>
    <row r="533" spans="1:5">
      <c r="A533" t="s">
        <v>30</v>
      </c>
      <c r="B533" t="s">
        <v>52</v>
      </c>
      <c r="C533">
        <v>3002</v>
      </c>
      <c r="D533">
        <v>51</v>
      </c>
      <c r="E533">
        <v>1.698867421718854</v>
      </c>
    </row>
    <row r="534" spans="1:5">
      <c r="A534" t="s">
        <v>30</v>
      </c>
      <c r="B534" t="s">
        <v>53</v>
      </c>
      <c r="C534">
        <v>3138</v>
      </c>
      <c r="D534">
        <v>136</v>
      </c>
      <c r="E534">
        <v>4.3339706819630326</v>
      </c>
    </row>
    <row r="535" spans="1:5">
      <c r="A535" t="s">
        <v>30</v>
      </c>
      <c r="B535" t="s">
        <v>54</v>
      </c>
      <c r="C535">
        <v>2735</v>
      </c>
      <c r="D535">
        <v>20</v>
      </c>
      <c r="E535">
        <v>0.73126142595978061</v>
      </c>
    </row>
    <row r="536" spans="1:5">
      <c r="A536" t="s">
        <v>30</v>
      </c>
      <c r="B536" t="s">
        <v>55</v>
      </c>
      <c r="C536">
        <v>2712</v>
      </c>
      <c r="D536">
        <v>100</v>
      </c>
      <c r="E536">
        <v>3.6873156342182889</v>
      </c>
    </row>
    <row r="537" spans="1:5">
      <c r="A537" t="s">
        <v>30</v>
      </c>
      <c r="B537" t="s">
        <v>56</v>
      </c>
      <c r="C537">
        <v>3164</v>
      </c>
      <c r="D537">
        <v>285</v>
      </c>
      <c r="E537">
        <v>9.0075853350189643</v>
      </c>
    </row>
    <row r="538" spans="1:5">
      <c r="A538" t="s">
        <v>21</v>
      </c>
      <c r="B538" t="s">
        <v>37</v>
      </c>
      <c r="C538">
        <v>2</v>
      </c>
      <c r="D538">
        <v>0</v>
      </c>
      <c r="E538">
        <v>0</v>
      </c>
    </row>
    <row r="539" spans="1:5">
      <c r="A539" t="s">
        <v>21</v>
      </c>
      <c r="B539" t="s">
        <v>38</v>
      </c>
      <c r="C539">
        <v>7</v>
      </c>
      <c r="D539">
        <v>0</v>
      </c>
      <c r="E539">
        <v>0</v>
      </c>
    </row>
    <row r="540" spans="1:5">
      <c r="A540" t="s">
        <v>21</v>
      </c>
      <c r="B540" t="s">
        <v>39</v>
      </c>
      <c r="C540">
        <v>7</v>
      </c>
      <c r="D540">
        <v>0</v>
      </c>
      <c r="E540">
        <v>0</v>
      </c>
    </row>
    <row r="541" spans="1:5">
      <c r="A541" t="s">
        <v>21</v>
      </c>
      <c r="B541" t="s">
        <v>40</v>
      </c>
      <c r="C541">
        <v>13</v>
      </c>
      <c r="D541">
        <v>2</v>
      </c>
      <c r="E541">
        <v>15.38461538461538</v>
      </c>
    </row>
    <row r="542" spans="1:5">
      <c r="A542" t="s">
        <v>21</v>
      </c>
      <c r="B542" t="s">
        <v>41</v>
      </c>
      <c r="C542">
        <v>17</v>
      </c>
      <c r="D542">
        <v>0</v>
      </c>
      <c r="E542">
        <v>0</v>
      </c>
    </row>
    <row r="543" spans="1:5">
      <c r="A543" t="s">
        <v>21</v>
      </c>
      <c r="B543" t="s">
        <v>42</v>
      </c>
      <c r="C543">
        <v>8</v>
      </c>
      <c r="D543">
        <v>0</v>
      </c>
      <c r="E543">
        <v>0</v>
      </c>
    </row>
    <row r="544" spans="1:5">
      <c r="A544" t="s">
        <v>21</v>
      </c>
      <c r="B544" t="s">
        <v>43</v>
      </c>
      <c r="C544">
        <v>1</v>
      </c>
      <c r="D544">
        <v>0</v>
      </c>
      <c r="E544">
        <v>0</v>
      </c>
    </row>
    <row r="545" spans="1:5">
      <c r="A545" t="s">
        <v>21</v>
      </c>
      <c r="B545" t="s">
        <v>44</v>
      </c>
      <c r="C545">
        <v>15</v>
      </c>
      <c r="D545">
        <v>0</v>
      </c>
      <c r="E545">
        <v>0</v>
      </c>
    </row>
    <row r="546" spans="1:5">
      <c r="A546" t="s">
        <v>21</v>
      </c>
      <c r="B546" t="s">
        <v>45</v>
      </c>
      <c r="C546">
        <v>16</v>
      </c>
      <c r="D546">
        <v>0</v>
      </c>
      <c r="E546">
        <v>0</v>
      </c>
    </row>
    <row r="547" spans="1:5">
      <c r="A547" t="s">
        <v>21</v>
      </c>
      <c r="B547" t="s">
        <v>46</v>
      </c>
      <c r="C547">
        <v>13</v>
      </c>
      <c r="D547">
        <v>0</v>
      </c>
      <c r="E547">
        <v>0</v>
      </c>
    </row>
    <row r="548" spans="1:5">
      <c r="A548" t="s">
        <v>21</v>
      </c>
      <c r="B548" t="s">
        <v>47</v>
      </c>
      <c r="C548">
        <v>17</v>
      </c>
      <c r="D548">
        <v>3</v>
      </c>
      <c r="E548">
        <v>17.647058823529409</v>
      </c>
    </row>
    <row r="549" spans="1:5">
      <c r="A549" t="s">
        <v>21</v>
      </c>
      <c r="B549" t="s">
        <v>48</v>
      </c>
      <c r="C549">
        <v>14</v>
      </c>
      <c r="D549">
        <v>0</v>
      </c>
      <c r="E549">
        <v>0</v>
      </c>
    </row>
    <row r="550" spans="1:5">
      <c r="A550" t="s">
        <v>21</v>
      </c>
      <c r="B550" t="s">
        <v>49</v>
      </c>
      <c r="C550">
        <v>16</v>
      </c>
      <c r="D550">
        <v>0</v>
      </c>
      <c r="E550">
        <v>0</v>
      </c>
    </row>
    <row r="551" spans="1:5">
      <c r="A551" t="s">
        <v>21</v>
      </c>
      <c r="B551" t="s">
        <v>50</v>
      </c>
      <c r="C551">
        <v>20</v>
      </c>
      <c r="D551">
        <v>9</v>
      </c>
      <c r="E551">
        <v>45</v>
      </c>
    </row>
    <row r="552" spans="1:5">
      <c r="A552" t="s">
        <v>21</v>
      </c>
      <c r="B552" t="s">
        <v>51</v>
      </c>
      <c r="C552">
        <v>20</v>
      </c>
      <c r="D552">
        <v>5</v>
      </c>
      <c r="E552">
        <v>25</v>
      </c>
    </row>
    <row r="553" spans="1:5">
      <c r="A553" t="s">
        <v>21</v>
      </c>
      <c r="B553" t="s">
        <v>52</v>
      </c>
      <c r="C553">
        <v>19</v>
      </c>
      <c r="D553">
        <v>1</v>
      </c>
      <c r="E553">
        <v>5.2631578947368416</v>
      </c>
    </row>
    <row r="554" spans="1:5">
      <c r="A554" t="s">
        <v>21</v>
      </c>
      <c r="B554" t="s">
        <v>53</v>
      </c>
      <c r="C554">
        <v>16</v>
      </c>
      <c r="D554">
        <v>4</v>
      </c>
      <c r="E554">
        <v>25</v>
      </c>
    </row>
    <row r="555" spans="1:5">
      <c r="A555" t="s">
        <v>21</v>
      </c>
      <c r="B555" t="s">
        <v>54</v>
      </c>
      <c r="C555">
        <v>18</v>
      </c>
      <c r="D555">
        <v>0</v>
      </c>
      <c r="E555">
        <v>0</v>
      </c>
    </row>
    <row r="556" spans="1:5">
      <c r="A556" t="s">
        <v>21</v>
      </c>
      <c r="B556" t="s">
        <v>55</v>
      </c>
      <c r="C556">
        <v>22</v>
      </c>
      <c r="D556">
        <v>1</v>
      </c>
      <c r="E556">
        <v>4.5454545454545459</v>
      </c>
    </row>
    <row r="557" spans="1:5">
      <c r="A557" t="s">
        <v>21</v>
      </c>
      <c r="B557" t="s">
        <v>56</v>
      </c>
      <c r="C557">
        <v>13</v>
      </c>
      <c r="D557">
        <v>2</v>
      </c>
      <c r="E557">
        <v>15.38461538461538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2026-10-23T18:16:52Z</dcterms:created>
  <dcterms:modified xsi:type="dcterms:W3CDTF">2026-10-23T18:50:35Z</dcterms:modified>
  <cp:category/>
  <cp:contentStatus/>
</cp:coreProperties>
</file>